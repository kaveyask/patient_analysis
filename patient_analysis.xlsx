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b67e4559a60eddf/Desktop/Data Analysis/Excel/Projects/"/>
    </mc:Choice>
  </mc:AlternateContent>
  <xr:revisionPtr revIDLastSave="827" documentId="14_{3E9F3A41-D553-4054-9878-2CACB5EF0C7E}" xr6:coauthVersionLast="47" xr6:coauthVersionMax="47" xr10:uidLastSave="{5B4117DE-FA3F-4368-9B42-9C28C56D50A5}"/>
  <bookViews>
    <workbookView xWindow="-120" yWindow="-120" windowWidth="20730" windowHeight="11040" xr2:uid="{3253210E-8523-47C1-8A69-F5796C992F78}"/>
  </bookViews>
  <sheets>
    <sheet name="patient" sheetId="2" r:id="rId1"/>
    <sheet name="Pivot_Table" sheetId="1" r:id="rId2"/>
    <sheet name="Dashboard" sheetId="3" r:id="rId3"/>
  </sheets>
  <definedNames>
    <definedName name="ExternalData_1" localSheetId="0" hidden="1">patient!$A$1:$O$985</definedName>
    <definedName name="Slicer_age_group">#N/A</definedName>
    <definedName name="Slicer_Discharge_Year">#N/A</definedName>
    <definedName name="Slicer_Gender">#N/A</definedName>
    <definedName name="Slicer_Patient_State">#N/A</definedName>
    <definedName name="Slicer_Readmiss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19" i="1" l="1"/>
  <c r="P468" i="2" a="1"/>
  <c r="P468" i="2" s="1"/>
  <c r="P720" i="2" a="1"/>
  <c r="P720" i="2" s="1"/>
  <c r="P251" i="2" a="1"/>
  <c r="P251" i="2" s="1"/>
  <c r="P502" i="2" a="1"/>
  <c r="P502" i="2" s="1"/>
  <c r="P915" i="2" a="1"/>
  <c r="P915" i="2" s="1"/>
  <c r="P133" i="2" a="1"/>
  <c r="P133" i="2" s="1"/>
  <c r="P514" i="2" a="1"/>
  <c r="P514" i="2" s="1"/>
  <c r="P864" i="2" a="1"/>
  <c r="P864" i="2" s="1"/>
  <c r="P662" i="2" a="1"/>
  <c r="P662" i="2" s="1"/>
  <c r="P693" i="2" a="1"/>
  <c r="P693" i="2" s="1"/>
  <c r="P434" i="2" a="1"/>
  <c r="P434" i="2" s="1"/>
  <c r="P172" i="2" a="1"/>
  <c r="P172" i="2" s="1"/>
  <c r="P78" i="2" a="1"/>
  <c r="P78" i="2" s="1"/>
  <c r="P82" i="2" a="1"/>
  <c r="P82" i="2" s="1"/>
  <c r="P544" i="2" a="1"/>
  <c r="P544" i="2" s="1"/>
  <c r="P801" i="2" a="1"/>
  <c r="P801" i="2" s="1"/>
  <c r="P882" i="2" a="1"/>
  <c r="P882" i="2" s="1"/>
  <c r="P62" i="2" a="1"/>
  <c r="P62" i="2" s="1"/>
  <c r="P928" i="2" a="1"/>
  <c r="P928" i="2" s="1"/>
  <c r="P474" i="2" a="1"/>
  <c r="P474" i="2" s="1"/>
  <c r="P613" i="2" a="1"/>
  <c r="P613" i="2" s="1"/>
  <c r="P983" i="2" a="1"/>
  <c r="P983" i="2" s="1"/>
  <c r="P409" i="2" a="1"/>
  <c r="P409" i="2" s="1"/>
  <c r="P353" i="2" a="1"/>
  <c r="P353" i="2" s="1"/>
  <c r="P575" i="2" a="1"/>
  <c r="P575" i="2" s="1"/>
  <c r="P212" i="2" a="1"/>
  <c r="P212" i="2" s="1"/>
  <c r="P598" i="2" a="1"/>
  <c r="P598" i="2" s="1"/>
  <c r="P946" i="2" a="1"/>
  <c r="P946" i="2" s="1"/>
  <c r="P638" i="2" a="1"/>
  <c r="P638" i="2" s="1"/>
  <c r="P685" i="2" a="1"/>
  <c r="P685" i="2" s="1"/>
  <c r="P160" i="2" a="1"/>
  <c r="P160" i="2" s="1"/>
  <c r="P352" i="2" a="1"/>
  <c r="P352" i="2" s="1"/>
  <c r="P808" i="2" a="1"/>
  <c r="P808" i="2" s="1"/>
  <c r="P223" i="2" a="1"/>
  <c r="P223" i="2" s="1"/>
  <c r="P447" i="2" a="1"/>
  <c r="P447" i="2" s="1"/>
  <c r="P854" i="2" a="1"/>
  <c r="P854" i="2" s="1"/>
  <c r="P336" i="2" a="1"/>
  <c r="P336" i="2" s="1"/>
  <c r="P825" i="2" a="1"/>
  <c r="P825" i="2" s="1"/>
  <c r="P929" i="2" a="1"/>
  <c r="P929" i="2" s="1"/>
  <c r="P440" i="2" a="1"/>
  <c r="P440" i="2" s="1"/>
  <c r="P539" i="2" a="1"/>
  <c r="P539" i="2" s="1"/>
  <c r="P17" i="2" a="1"/>
  <c r="P17" i="2" s="1"/>
  <c r="P120" i="2" a="1"/>
  <c r="P120" i="2" s="1"/>
  <c r="P109" i="2" a="1"/>
  <c r="P109" i="2" s="1"/>
  <c r="P114" i="2" a="1"/>
  <c r="P114" i="2" s="1"/>
  <c r="P542" i="2" a="1"/>
  <c r="P542" i="2" s="1"/>
  <c r="P355" i="2" a="1"/>
  <c r="P355" i="2" s="1"/>
  <c r="P617" i="2" a="1"/>
  <c r="P617" i="2" s="1"/>
  <c r="P58" i="2" a="1"/>
  <c r="P58" i="2" s="1"/>
  <c r="P200" i="2" a="1"/>
  <c r="P200" i="2" s="1"/>
  <c r="P405" i="2" a="1"/>
  <c r="P405" i="2" s="1"/>
  <c r="P187" i="2" a="1"/>
  <c r="P187" i="2" s="1"/>
  <c r="P595" i="2" a="1"/>
  <c r="P595" i="2" s="1"/>
  <c r="P975" i="2" a="1"/>
  <c r="P975" i="2" s="1"/>
  <c r="P238" i="2" a="1"/>
  <c r="P238" i="2" s="1"/>
  <c r="P399" i="2" a="1"/>
  <c r="P399" i="2" s="1"/>
  <c r="P458" i="2" a="1"/>
  <c r="P458" i="2" s="1"/>
  <c r="P521" i="2" a="1"/>
  <c r="P521" i="2" s="1"/>
  <c r="P298" i="2" a="1"/>
  <c r="P298" i="2" s="1"/>
  <c r="P339" i="2" a="1"/>
  <c r="P339" i="2" s="1"/>
  <c r="P222" i="2" a="1"/>
  <c r="P222" i="2" s="1"/>
  <c r="P488" i="2" a="1"/>
  <c r="P488" i="2" s="1"/>
  <c r="P650" i="2" a="1"/>
  <c r="P650" i="2" s="1"/>
  <c r="P465" i="2" a="1"/>
  <c r="P465" i="2" s="1"/>
  <c r="P563" i="2" a="1"/>
  <c r="P563" i="2" s="1"/>
  <c r="P981" i="2" a="1"/>
  <c r="P981" i="2" s="1"/>
  <c r="P410" i="2" a="1"/>
  <c r="P410" i="2" s="1"/>
  <c r="P31" i="2" a="1"/>
  <c r="P31" i="2" s="1"/>
  <c r="P694" i="2" a="1"/>
  <c r="P694" i="2" s="1"/>
  <c r="P415" i="2" a="1"/>
  <c r="P415" i="2" s="1"/>
  <c r="P540" i="2" a="1"/>
  <c r="P540" i="2" s="1"/>
  <c r="P467" i="2" a="1"/>
  <c r="P467" i="2" s="1"/>
  <c r="P344" i="2" a="1"/>
  <c r="P344" i="2" s="1"/>
  <c r="P573" i="2" a="1"/>
  <c r="P573" i="2" s="1"/>
  <c r="P38" i="2" a="1"/>
  <c r="P38" i="2" s="1"/>
  <c r="P90" i="2" a="1"/>
  <c r="P90" i="2" s="1"/>
  <c r="P974" i="2" a="1"/>
  <c r="P974" i="2" s="1"/>
  <c r="P177" i="2" a="1"/>
  <c r="P177" i="2" s="1"/>
  <c r="P902" i="2" a="1"/>
  <c r="P902" i="2" s="1"/>
  <c r="P984" i="2" a="1"/>
  <c r="P984" i="2" s="1"/>
  <c r="P175" i="2" a="1"/>
  <c r="P175" i="2" s="1"/>
  <c r="P32" i="2" a="1"/>
  <c r="P32" i="2" s="1"/>
  <c r="P775" i="2" a="1"/>
  <c r="P775" i="2" s="1"/>
  <c r="P628" i="2" a="1"/>
  <c r="P628" i="2" s="1"/>
  <c r="P157" i="2" a="1"/>
  <c r="P157" i="2" s="1"/>
  <c r="P77" i="2" a="1"/>
  <c r="P77" i="2" s="1"/>
  <c r="P559" i="2" a="1"/>
  <c r="P559" i="2" s="1"/>
  <c r="P618" i="2" a="1"/>
  <c r="P618" i="2" s="1"/>
  <c r="P155" i="2" a="1"/>
  <c r="P155" i="2" s="1"/>
  <c r="P256" i="2" a="1"/>
  <c r="P256" i="2" s="1"/>
  <c r="P26" i="2" a="1"/>
  <c r="P26" i="2" s="1"/>
  <c r="P690" i="2" a="1"/>
  <c r="P690" i="2" s="1"/>
  <c r="P779" i="2" a="1"/>
  <c r="P779" i="2" s="1"/>
  <c r="P966" i="2" a="1"/>
  <c r="P966" i="2" s="1"/>
  <c r="P817" i="2" a="1"/>
  <c r="P817" i="2" s="1"/>
  <c r="P833" i="2" a="1"/>
  <c r="P833" i="2" s="1"/>
  <c r="P818" i="2" a="1"/>
  <c r="P818" i="2" s="1"/>
  <c r="P791" i="2" a="1"/>
  <c r="P791" i="2" s="1"/>
  <c r="P777" i="2" a="1"/>
  <c r="P777" i="2" s="1"/>
  <c r="P271" i="2" a="1"/>
  <c r="P271" i="2" s="1"/>
  <c r="P522" i="2" a="1"/>
  <c r="P522" i="2" s="1"/>
  <c r="P561" i="2" a="1"/>
  <c r="P561" i="2" s="1"/>
  <c r="P323" i="2" a="1"/>
  <c r="P323" i="2" s="1"/>
  <c r="P326" i="2" a="1"/>
  <c r="P326" i="2" s="1"/>
  <c r="P104" i="2" a="1"/>
  <c r="P104" i="2" s="1"/>
  <c r="P423" i="2" a="1"/>
  <c r="P423" i="2" s="1"/>
  <c r="P391" i="2" a="1"/>
  <c r="P391" i="2" s="1"/>
  <c r="P900" i="2" a="1"/>
  <c r="P900" i="2" s="1"/>
  <c r="P604" i="2" a="1"/>
  <c r="P604" i="2" s="1"/>
  <c r="P699" i="2" a="1"/>
  <c r="P699" i="2" s="1"/>
  <c r="P402" i="2" a="1"/>
  <c r="P402" i="2" s="1"/>
  <c r="P239" i="2" a="1"/>
  <c r="P239" i="2" s="1"/>
  <c r="P327" i="2" a="1"/>
  <c r="P327" i="2" s="1"/>
  <c r="P111" i="2" a="1"/>
  <c r="P111" i="2" s="1"/>
  <c r="P663" i="2" a="1"/>
  <c r="P663" i="2" s="1"/>
  <c r="P50" i="2" a="1"/>
  <c r="P50" i="2" s="1"/>
  <c r="P335" i="2" a="1"/>
  <c r="P335" i="2" s="1"/>
  <c r="P377" i="2" a="1"/>
  <c r="P377" i="2" s="1"/>
  <c r="P19" i="2" a="1"/>
  <c r="P19" i="2" s="1"/>
  <c r="P237" i="2" a="1"/>
  <c r="P237" i="2" s="1"/>
  <c r="P213" i="2" a="1"/>
  <c r="P213" i="2" s="1"/>
  <c r="P443" i="2" a="1"/>
  <c r="P443" i="2" s="1"/>
  <c r="P624" i="2" a="1"/>
  <c r="P624" i="2" s="1"/>
  <c r="P979" i="2" a="1"/>
  <c r="P979" i="2" s="1"/>
  <c r="P162" i="2" a="1"/>
  <c r="P162" i="2" s="1"/>
  <c r="P523" i="2" a="1"/>
  <c r="P523" i="2" s="1"/>
  <c r="P787" i="2" a="1"/>
  <c r="P787" i="2" s="1"/>
  <c r="P506" i="2" a="1"/>
  <c r="P506" i="2" s="1"/>
  <c r="P985" i="2" a="1"/>
  <c r="P985" i="2" s="1"/>
  <c r="P701" i="2" a="1"/>
  <c r="P701" i="2" s="1"/>
  <c r="P441" i="2" a="1"/>
  <c r="P441" i="2" s="1"/>
  <c r="P569" i="2" a="1"/>
  <c r="P569" i="2" s="1"/>
  <c r="P768" i="2" a="1"/>
  <c r="P768" i="2" s="1"/>
  <c r="P267" i="2" a="1"/>
  <c r="P267" i="2" s="1"/>
  <c r="P250" i="2" a="1"/>
  <c r="P250" i="2" s="1"/>
  <c r="P586" i="2" a="1"/>
  <c r="P586" i="2" s="1"/>
  <c r="P321" i="2" a="1"/>
  <c r="P321" i="2" s="1"/>
  <c r="P27" i="2" a="1"/>
  <c r="P27" i="2" s="1"/>
  <c r="P42" i="2" a="1"/>
  <c r="P42" i="2" s="1"/>
  <c r="P783" i="2" a="1"/>
  <c r="P783" i="2" s="1"/>
  <c r="P314" i="2" a="1"/>
  <c r="P314" i="2" s="1"/>
  <c r="P668" i="2" a="1"/>
  <c r="P668" i="2" s="1"/>
  <c r="P607" i="2" a="1"/>
  <c r="P607" i="2" s="1"/>
  <c r="P84" i="2" a="1"/>
  <c r="P84" i="2" s="1"/>
  <c r="P233" i="2" a="1"/>
  <c r="P233" i="2" s="1"/>
  <c r="P148" i="2" a="1"/>
  <c r="P148" i="2" s="1"/>
  <c r="P806" i="2" a="1"/>
  <c r="P806" i="2" s="1"/>
  <c r="P620" i="2" a="1"/>
  <c r="P620" i="2" s="1"/>
  <c r="P216" i="2" a="1"/>
  <c r="P216" i="2" s="1"/>
  <c r="P375" i="2" a="1"/>
  <c r="P375" i="2" s="1"/>
  <c r="P664" i="2" a="1"/>
  <c r="P664" i="2" s="1"/>
  <c r="P665" i="2" a="1"/>
  <c r="P665" i="2" s="1"/>
  <c r="P737" i="2" a="1"/>
  <c r="P737" i="2" s="1"/>
  <c r="P184" i="2" a="1"/>
  <c r="P184" i="2" s="1"/>
  <c r="P749" i="2" a="1"/>
  <c r="P749" i="2" s="1"/>
  <c r="P198" i="2" a="1"/>
  <c r="P198" i="2" s="1"/>
  <c r="P428" i="2" a="1"/>
  <c r="P428" i="2" s="1"/>
  <c r="P853" i="2" a="1"/>
  <c r="P853" i="2" s="1"/>
  <c r="P63" i="2" a="1"/>
  <c r="P63" i="2" s="1"/>
  <c r="P574" i="2" a="1"/>
  <c r="P574" i="2" s="1"/>
  <c r="P236" i="2" a="1"/>
  <c r="P236" i="2" s="1"/>
  <c r="P677" i="2" a="1"/>
  <c r="P677" i="2" s="1"/>
  <c r="P59" i="2" a="1"/>
  <c r="P59" i="2" s="1"/>
  <c r="P246" i="2" a="1"/>
  <c r="P246" i="2" s="1"/>
  <c r="P308" i="2" a="1"/>
  <c r="P308" i="2" s="1"/>
  <c r="P262" i="2" a="1"/>
  <c r="P262" i="2" s="1"/>
  <c r="P837" i="2" a="1"/>
  <c r="P837" i="2" s="1"/>
  <c r="P553" i="2" a="1"/>
  <c r="P553" i="2" s="1"/>
  <c r="P716" i="2" a="1"/>
  <c r="P716" i="2" s="1"/>
  <c r="P99" i="2" a="1"/>
  <c r="P99" i="2" s="1"/>
  <c r="P826" i="2" a="1"/>
  <c r="P826" i="2" s="1"/>
  <c r="P886" i="2" a="1"/>
  <c r="P886" i="2" s="1"/>
  <c r="P220" i="2" a="1"/>
  <c r="P220" i="2" s="1"/>
  <c r="P354" i="2" a="1"/>
  <c r="P354" i="2" s="1"/>
  <c r="P639" i="2" a="1"/>
  <c r="P639" i="2" s="1"/>
  <c r="P691" i="2" a="1"/>
  <c r="P691" i="2" s="1"/>
  <c r="P387" i="2" a="1"/>
  <c r="P387" i="2" s="1"/>
  <c r="P875" i="2" a="1"/>
  <c r="P875" i="2" s="1"/>
  <c r="P363" i="2" a="1"/>
  <c r="P363" i="2" s="1"/>
  <c r="P261" i="2" a="1"/>
  <c r="P261" i="2" s="1"/>
  <c r="P550" i="2" a="1"/>
  <c r="P550" i="2" s="1"/>
  <c r="P535" i="2" a="1"/>
  <c r="P535" i="2" s="1"/>
  <c r="P976" i="2" a="1"/>
  <c r="P976" i="2" s="1"/>
  <c r="P712" i="2" a="1"/>
  <c r="P712" i="2" s="1"/>
  <c r="P453" i="2" a="1"/>
  <c r="P453" i="2" s="1"/>
  <c r="P393" i="2" a="1"/>
  <c r="P393" i="2" s="1"/>
  <c r="P180" i="2" a="1"/>
  <c r="P180" i="2" s="1"/>
  <c r="P912" i="2" a="1"/>
  <c r="P912" i="2" s="1"/>
  <c r="P711" i="2" a="1"/>
  <c r="P711" i="2" s="1"/>
  <c r="P232" i="2" a="1"/>
  <c r="P232" i="2" s="1"/>
  <c r="P294" i="2" a="1"/>
  <c r="P294" i="2" s="1"/>
  <c r="P427" i="2" a="1"/>
  <c r="P427" i="2" s="1"/>
  <c r="P424" i="2" a="1"/>
  <c r="P424" i="2" s="1"/>
  <c r="P439" i="2" a="1"/>
  <c r="P439" i="2" s="1"/>
  <c r="P295" i="2" a="1"/>
  <c r="P295" i="2" s="1"/>
  <c r="P117" i="2" a="1"/>
  <c r="P117" i="2" s="1"/>
  <c r="P555" i="2" a="1"/>
  <c r="P555" i="2" s="1"/>
  <c r="P255" i="2" a="1"/>
  <c r="P255" i="2" s="1"/>
  <c r="P320" i="2" a="1"/>
  <c r="P320" i="2" s="1"/>
  <c r="P92" i="2" a="1"/>
  <c r="P92" i="2" s="1"/>
  <c r="P570" i="2" a="1"/>
  <c r="P570" i="2" s="1"/>
  <c r="P847" i="2" a="1"/>
  <c r="P847" i="2" s="1"/>
  <c r="P636" i="2" a="1"/>
  <c r="P636" i="2" s="1"/>
  <c r="P313" i="2" a="1"/>
  <c r="P313" i="2" s="1"/>
  <c r="P644" i="2" a="1"/>
  <c r="P644" i="2" s="1"/>
  <c r="P240" i="2" a="1"/>
  <c r="P240" i="2" s="1"/>
  <c r="P286" i="2" a="1"/>
  <c r="P286" i="2" s="1"/>
  <c r="P310" i="2" a="1"/>
  <c r="P310" i="2" s="1"/>
  <c r="P877" i="2" a="1"/>
  <c r="P877" i="2" s="1"/>
  <c r="P704" i="2" a="1"/>
  <c r="P704" i="2" s="1"/>
  <c r="P18" i="2" a="1"/>
  <c r="P18" i="2" s="1"/>
  <c r="P673" i="2" a="1"/>
  <c r="P673" i="2" s="1"/>
  <c r="P376" i="2" a="1"/>
  <c r="P376" i="2" s="1"/>
  <c r="P940" i="2" a="1"/>
  <c r="P940" i="2" s="1"/>
  <c r="P319" i="2" a="1"/>
  <c r="P319" i="2" s="1"/>
  <c r="P340" i="2" a="1"/>
  <c r="P340" i="2" s="1"/>
  <c r="P802" i="2" a="1"/>
  <c r="P802" i="2" s="1"/>
  <c r="P224" i="2" a="1"/>
  <c r="P224" i="2" s="1"/>
  <c r="P931" i="2" a="1"/>
  <c r="P931" i="2" s="1"/>
  <c r="P486" i="2" a="1"/>
  <c r="P486" i="2" s="1"/>
  <c r="P85" i="2" a="1"/>
  <c r="P85" i="2" s="1"/>
  <c r="P653" i="2" a="1"/>
  <c r="P653" i="2" s="1"/>
  <c r="P909" i="2" a="1"/>
  <c r="P909" i="2" s="1"/>
  <c r="P281" i="2" a="1"/>
  <c r="P281" i="2" s="1"/>
  <c r="P872" i="2" a="1"/>
  <c r="P872" i="2" s="1"/>
  <c r="P300" i="2" a="1"/>
  <c r="P300" i="2" s="1"/>
  <c r="P166" i="2" a="1"/>
  <c r="P166" i="2" s="1"/>
  <c r="P703" i="2" a="1"/>
  <c r="P703" i="2" s="1"/>
  <c r="P898" i="2" a="1"/>
  <c r="P898" i="2" s="1"/>
  <c r="P107" i="2" a="1"/>
  <c r="P107" i="2" s="1"/>
  <c r="P619" i="2" a="1"/>
  <c r="P619" i="2" s="1"/>
  <c r="P454" i="2" a="1"/>
  <c r="P454" i="2" s="1"/>
  <c r="P626" i="2" a="1"/>
  <c r="P626" i="2" s="1"/>
  <c r="P541" i="2" a="1"/>
  <c r="P541" i="2" s="1"/>
  <c r="P529" i="2" a="1"/>
  <c r="P529" i="2" s="1"/>
  <c r="P44" i="2" a="1"/>
  <c r="P44" i="2" s="1"/>
  <c r="P207" i="2" a="1"/>
  <c r="P207" i="2" s="1"/>
  <c r="P450" i="2" a="1"/>
  <c r="P450" i="2" s="1"/>
  <c r="P333" i="2" a="1"/>
  <c r="P333" i="2" s="1"/>
  <c r="P606" i="2" a="1"/>
  <c r="P606" i="2" s="1"/>
  <c r="P678" i="2" a="1"/>
  <c r="P678" i="2" s="1"/>
  <c r="P954" i="2" a="1"/>
  <c r="P954" i="2" s="1"/>
  <c r="P893" i="2" a="1"/>
  <c r="P893" i="2" s="1"/>
  <c r="P546" i="2" a="1"/>
  <c r="P546" i="2" s="1"/>
  <c r="P492" i="2" a="1"/>
  <c r="P492" i="2" s="1"/>
  <c r="P178" i="2" a="1"/>
  <c r="P178" i="2" s="1"/>
  <c r="P879" i="2" a="1"/>
  <c r="P879" i="2" s="1"/>
  <c r="P625" i="2" a="1"/>
  <c r="P625" i="2" s="1"/>
  <c r="P840" i="2" a="1"/>
  <c r="P840" i="2" s="1"/>
  <c r="P596" i="2" a="1"/>
  <c r="P596" i="2" s="1"/>
  <c r="P874" i="2" a="1"/>
  <c r="P874" i="2" s="1"/>
  <c r="P307" i="2" a="1"/>
  <c r="P307" i="2" s="1"/>
  <c r="P830" i="2" a="1"/>
  <c r="P830" i="2" s="1"/>
  <c r="P422" i="2" a="1"/>
  <c r="P422" i="2" s="1"/>
  <c r="P83" i="2" a="1"/>
  <c r="P83" i="2" s="1"/>
  <c r="P112" i="2" a="1"/>
  <c r="P112" i="2" s="1"/>
  <c r="P803" i="2" a="1"/>
  <c r="P803" i="2" s="1"/>
  <c r="P274" i="2" a="1"/>
  <c r="P274" i="2" s="1"/>
  <c r="P903" i="2" a="1"/>
  <c r="P903" i="2" s="1"/>
  <c r="P102" i="2" a="1"/>
  <c r="P102" i="2" s="1"/>
  <c r="P907" i="2" a="1"/>
  <c r="P907" i="2" s="1"/>
  <c r="P705" i="2" a="1"/>
  <c r="P705" i="2" s="1"/>
  <c r="P602" i="2" a="1"/>
  <c r="P602" i="2" s="1"/>
  <c r="P193" i="2" a="1"/>
  <c r="P193" i="2" s="1"/>
  <c r="P955" i="2" a="1"/>
  <c r="P955" i="2" s="1"/>
  <c r="P655" i="2" a="1"/>
  <c r="P655" i="2" s="1"/>
  <c r="P759" i="2" a="1"/>
  <c r="P759" i="2" s="1"/>
  <c r="P641" i="2" a="1"/>
  <c r="P641" i="2" s="1"/>
  <c r="P982" i="2" a="1"/>
  <c r="P982" i="2" s="1"/>
  <c r="P489" i="2" a="1"/>
  <c r="P489" i="2" s="1"/>
  <c r="P12" i="2" a="1"/>
  <c r="P12" i="2" s="1"/>
  <c r="P435" i="2" a="1"/>
  <c r="P435" i="2" s="1"/>
  <c r="P762" i="2" a="1"/>
  <c r="P762" i="2" s="1"/>
  <c r="P421" i="2" a="1"/>
  <c r="P421" i="2" s="1"/>
  <c r="P769" i="2" a="1"/>
  <c r="P769" i="2" s="1"/>
  <c r="P206" i="2" a="1"/>
  <c r="P206" i="2" s="1"/>
  <c r="P958" i="2" a="1"/>
  <c r="P958" i="2" s="1"/>
  <c r="P316" i="2" a="1"/>
  <c r="P316" i="2" s="1"/>
  <c r="P793" i="2" a="1"/>
  <c r="P793" i="2" s="1"/>
  <c r="P657" i="2" a="1"/>
  <c r="P657" i="2" s="1"/>
  <c r="P760" i="2" a="1"/>
  <c r="P760" i="2" s="1"/>
  <c r="P532" i="2" a="1"/>
  <c r="P532" i="2" s="1"/>
  <c r="P774" i="2" a="1"/>
  <c r="P774" i="2" s="1"/>
  <c r="P834" i="2" a="1"/>
  <c r="P834" i="2" s="1"/>
  <c r="P681" i="2" a="1"/>
  <c r="P681" i="2" s="1"/>
  <c r="P13" i="2" a="1"/>
  <c r="P13" i="2" s="1"/>
  <c r="P383" i="2" a="1"/>
  <c r="P383" i="2" s="1"/>
  <c r="P381" i="2" a="1"/>
  <c r="P381" i="2" s="1"/>
  <c r="P980" i="2" a="1"/>
  <c r="P980" i="2" s="1"/>
  <c r="P72" i="2" a="1"/>
  <c r="P72" i="2" s="1"/>
  <c r="P518" i="2" a="1"/>
  <c r="P518" i="2" s="1"/>
  <c r="P225" i="2" a="1"/>
  <c r="P225" i="2" s="1"/>
  <c r="P218" i="2" a="1"/>
  <c r="P218" i="2" s="1"/>
  <c r="P69" i="2" a="1"/>
  <c r="P69" i="2" s="1"/>
  <c r="P784" i="2" a="1"/>
  <c r="P784" i="2" s="1"/>
  <c r="P43" i="2" a="1"/>
  <c r="P43" i="2" s="1"/>
  <c r="P947" i="2" a="1"/>
  <c r="P947" i="2" s="1"/>
  <c r="P158" i="2" a="1"/>
  <c r="P158" i="2" s="1"/>
  <c r="P55" i="2" a="1"/>
  <c r="P55" i="2" s="1"/>
  <c r="P740" i="2" a="1"/>
  <c r="P740" i="2" s="1"/>
  <c r="P725" i="2" a="1"/>
  <c r="P725" i="2" s="1"/>
  <c r="P449" i="2" a="1"/>
  <c r="P449" i="2" s="1"/>
  <c r="P299" i="2" a="1"/>
  <c r="P299" i="2" s="1"/>
  <c r="P130" i="2" a="1"/>
  <c r="P130" i="2" s="1"/>
  <c r="P556" i="2" a="1"/>
  <c r="P556" i="2" s="1"/>
  <c r="P659" i="2" a="1"/>
  <c r="P659" i="2" s="1"/>
  <c r="P337" i="2" a="1"/>
  <c r="P337" i="2" s="1"/>
  <c r="P33" i="2" a="1"/>
  <c r="P33" i="2" s="1"/>
  <c r="P446" i="2" a="1"/>
  <c r="P446" i="2" s="1"/>
  <c r="P338" i="2" a="1"/>
  <c r="P338" i="2" s="1"/>
  <c r="P398" i="2" a="1"/>
  <c r="P398" i="2" s="1"/>
  <c r="P670" i="2" a="1"/>
  <c r="P670" i="2" s="1"/>
  <c r="P970" i="2" a="1"/>
  <c r="P970" i="2" s="1"/>
  <c r="P131" i="2" a="1"/>
  <c r="P131" i="2" s="1"/>
  <c r="P679" i="2" a="1"/>
  <c r="P679" i="2" s="1"/>
  <c r="P566" i="2" a="1"/>
  <c r="P566" i="2" s="1"/>
  <c r="P908" i="2" a="1"/>
  <c r="P908" i="2" s="1"/>
  <c r="P868" i="2" a="1"/>
  <c r="P868" i="2" s="1"/>
  <c r="P880" i="2" a="1"/>
  <c r="P880" i="2" s="1"/>
  <c r="P197" i="2" a="1"/>
  <c r="P197" i="2" s="1"/>
  <c r="P151" i="2" a="1"/>
  <c r="P151" i="2" s="1"/>
  <c r="P498" i="2" a="1"/>
  <c r="P498" i="2" s="1"/>
  <c r="P786" i="2" a="1"/>
  <c r="P786" i="2" s="1"/>
  <c r="P277" i="2" a="1"/>
  <c r="P277" i="2" s="1"/>
  <c r="P482" i="2" a="1"/>
  <c r="P482" i="2" s="1"/>
  <c r="P536" i="2" a="1"/>
  <c r="P536" i="2" s="1"/>
  <c r="P588" i="2" a="1"/>
  <c r="P588" i="2" s="1"/>
  <c r="P292" i="2" a="1"/>
  <c r="P292" i="2" s="1"/>
  <c r="P728" i="2" a="1"/>
  <c r="P728" i="2" s="1"/>
  <c r="P952" i="2" a="1"/>
  <c r="P952" i="2" s="1"/>
  <c r="P971" i="2" a="1"/>
  <c r="P971" i="2" s="1"/>
  <c r="P100" i="2" a="1"/>
  <c r="P100" i="2" s="1"/>
  <c r="P758" i="2" a="1"/>
  <c r="P758" i="2" s="1"/>
  <c r="P524" i="2" a="1"/>
  <c r="P524" i="2" s="1"/>
  <c r="P243" i="2" a="1"/>
  <c r="P243" i="2" s="1"/>
  <c r="P858" i="2" a="1"/>
  <c r="P858" i="2" s="1"/>
  <c r="P724" i="2" a="1"/>
  <c r="P724" i="2" s="1"/>
  <c r="P719" i="2" a="1"/>
  <c r="P719" i="2" s="1"/>
  <c r="P590" i="2" a="1"/>
  <c r="P590" i="2" s="1"/>
  <c r="P268" i="2" a="1"/>
  <c r="P268" i="2" s="1"/>
  <c r="P226" i="2" a="1"/>
  <c r="P226" i="2" s="1"/>
  <c r="P608" i="2" a="1"/>
  <c r="P608" i="2" s="1"/>
  <c r="P494" i="2" a="1"/>
  <c r="P494" i="2" s="1"/>
  <c r="P288" i="2" a="1"/>
  <c r="P288" i="2" s="1"/>
  <c r="P548" i="2" a="1"/>
  <c r="P548" i="2" s="1"/>
  <c r="P916" i="2" a="1"/>
  <c r="P916" i="2" s="1"/>
  <c r="P21" i="2" a="1"/>
  <c r="P21" i="2" s="1"/>
  <c r="P275" i="2" a="1"/>
  <c r="P275" i="2" s="1"/>
  <c r="P89" i="2" a="1"/>
  <c r="P89" i="2" s="1"/>
  <c r="P418" i="2" a="1"/>
  <c r="P418" i="2" s="1"/>
  <c r="P127" i="2" a="1"/>
  <c r="P127" i="2" s="1"/>
  <c r="P247" i="2" a="1"/>
  <c r="P247" i="2" s="1"/>
  <c r="P510" i="2" a="1"/>
  <c r="P510" i="2" s="1"/>
  <c r="P816" i="2" a="1"/>
  <c r="P816" i="2" s="1"/>
  <c r="P978" i="2" a="1"/>
  <c r="P978" i="2" s="1"/>
  <c r="P365" i="2" a="1"/>
  <c r="P365" i="2" s="1"/>
  <c r="P159" i="2" a="1"/>
  <c r="P159" i="2" s="1"/>
  <c r="P217" i="2" a="1"/>
  <c r="P217" i="2" s="1"/>
  <c r="P463" i="2" a="1"/>
  <c r="P463" i="2" s="1"/>
  <c r="P888" i="2" a="1"/>
  <c r="P888" i="2" s="1"/>
  <c r="P388" i="2" a="1"/>
  <c r="P388" i="2" s="1"/>
  <c r="P827" i="2" a="1"/>
  <c r="P827" i="2" s="1"/>
  <c r="P113" i="2" a="1"/>
  <c r="P113" i="2" s="1"/>
  <c r="P138" i="2" a="1"/>
  <c r="P138" i="2" s="1"/>
  <c r="P792" i="2" a="1"/>
  <c r="P792" i="2" s="1"/>
  <c r="P430" i="2" a="1"/>
  <c r="P430" i="2" s="1"/>
  <c r="P684" i="2" a="1"/>
  <c r="P684" i="2" s="1"/>
  <c r="P751" i="2" a="1"/>
  <c r="P751" i="2" s="1"/>
  <c r="P181" i="2" a="1"/>
  <c r="P181" i="2" s="1"/>
  <c r="P329" i="2" a="1"/>
  <c r="P329" i="2" s="1"/>
  <c r="P543" i="2" a="1"/>
  <c r="P543" i="2" s="1"/>
  <c r="P143" i="2" a="1"/>
  <c r="P143" i="2" s="1"/>
  <c r="P950" i="2" a="1"/>
  <c r="P950" i="2" s="1"/>
  <c r="P578" i="2" a="1"/>
  <c r="P578" i="2" s="1"/>
  <c r="P10" i="2" a="1"/>
  <c r="P10" i="2" s="1"/>
  <c r="P179" i="2" a="1"/>
  <c r="P179" i="2" s="1"/>
  <c r="P560" i="2" a="1"/>
  <c r="P560" i="2" s="1"/>
  <c r="P244" i="2" a="1"/>
  <c r="P244" i="2" s="1"/>
  <c r="P29" i="2" a="1"/>
  <c r="P29" i="2" s="1"/>
  <c r="P686" i="2" a="1"/>
  <c r="P686" i="2" s="1"/>
  <c r="P661" i="2" a="1"/>
  <c r="P661" i="2" s="1"/>
  <c r="P738" i="2" a="1"/>
  <c r="P738" i="2" s="1"/>
  <c r="P671" i="2" a="1"/>
  <c r="P671" i="2" s="1"/>
  <c r="P324" i="2" a="1"/>
  <c r="P324" i="2" s="1"/>
  <c r="P813" i="2" a="1"/>
  <c r="P813" i="2" s="1"/>
  <c r="P61" i="2" a="1"/>
  <c r="P61" i="2" s="1"/>
  <c r="P537" i="2" a="1"/>
  <c r="P537" i="2" s="1"/>
  <c r="P520" i="2" a="1"/>
  <c r="P520" i="2" s="1"/>
  <c r="P455" i="2" a="1"/>
  <c r="P455" i="2" s="1"/>
  <c r="P788" i="2" a="1"/>
  <c r="P788" i="2" s="1"/>
  <c r="P821" i="2" a="1"/>
  <c r="P821" i="2" s="1"/>
  <c r="P773" i="2" a="1"/>
  <c r="P773" i="2" s="1"/>
  <c r="P582" i="2" a="1"/>
  <c r="P582" i="2" s="1"/>
  <c r="P45" i="2" a="1"/>
  <c r="P45" i="2" s="1"/>
  <c r="P756" i="2" a="1"/>
  <c r="P756" i="2" s="1"/>
  <c r="P97" i="2" a="1"/>
  <c r="P97" i="2" s="1"/>
  <c r="P332" i="2" a="1"/>
  <c r="P332" i="2" s="1"/>
  <c r="P471" i="2" a="1"/>
  <c r="P471" i="2" s="1"/>
  <c r="P110" i="2" a="1"/>
  <c r="P110" i="2" s="1"/>
  <c r="P252" i="2" a="1"/>
  <c r="P252" i="2" s="1"/>
  <c r="P472" i="2" a="1"/>
  <c r="P472" i="2" s="1"/>
  <c r="P432" i="2" a="1"/>
  <c r="P432" i="2" s="1"/>
  <c r="P396" i="2" a="1"/>
  <c r="P396" i="2" s="1"/>
  <c r="P431" i="2" a="1"/>
  <c r="P431" i="2" s="1"/>
  <c r="P404" i="2" a="1"/>
  <c r="P404" i="2" s="1"/>
  <c r="P153" i="2" a="1"/>
  <c r="P153" i="2" s="1"/>
  <c r="P972" i="2" a="1"/>
  <c r="P972" i="2" s="1"/>
  <c r="P507" i="2" a="1"/>
  <c r="P507" i="2" s="1"/>
  <c r="P726" i="2" a="1"/>
  <c r="P726" i="2" s="1"/>
  <c r="P780" i="2" a="1"/>
  <c r="P780" i="2" s="1"/>
  <c r="P807" i="2" a="1"/>
  <c r="P807" i="2" s="1"/>
  <c r="P291" i="2" a="1"/>
  <c r="P291" i="2" s="1"/>
  <c r="P637" i="2" a="1"/>
  <c r="P637" i="2" s="1"/>
  <c r="P503" i="2" a="1"/>
  <c r="P503" i="2" s="1"/>
  <c r="P386" i="2" a="1"/>
  <c r="P386" i="2" s="1"/>
  <c r="P357" i="2" a="1"/>
  <c r="P357" i="2" s="1"/>
  <c r="P11" i="2" a="1"/>
  <c r="P11" i="2" s="1"/>
  <c r="P645" i="2" a="1"/>
  <c r="P645" i="2" s="1"/>
  <c r="P696" i="2" a="1"/>
  <c r="P696" i="2" s="1"/>
  <c r="P789" i="2" a="1"/>
  <c r="P789" i="2" s="1"/>
  <c r="P687" i="2" a="1"/>
  <c r="P687" i="2" s="1"/>
  <c r="P932" i="2" a="1"/>
  <c r="P932" i="2" s="1"/>
  <c r="P831" i="2" a="1"/>
  <c r="P831" i="2" s="1"/>
  <c r="P73" i="2" a="1"/>
  <c r="P73" i="2" s="1"/>
  <c r="P499" i="2" a="1"/>
  <c r="P499" i="2" s="1"/>
  <c r="P39" i="2" a="1"/>
  <c r="P39" i="2" s="1"/>
  <c r="P204" i="2" a="1"/>
  <c r="P204" i="2" s="1"/>
  <c r="P433" i="2" a="1"/>
  <c r="P433" i="2" s="1"/>
  <c r="P961" i="2" a="1"/>
  <c r="P961" i="2" s="1"/>
  <c r="P128" i="2" a="1"/>
  <c r="P128" i="2" s="1"/>
  <c r="P318" i="2" a="1"/>
  <c r="P318" i="2" s="1"/>
  <c r="P378" i="2" a="1"/>
  <c r="P378" i="2" s="1"/>
  <c r="P437" i="2" a="1"/>
  <c r="P437" i="2" s="1"/>
  <c r="P96" i="2" a="1"/>
  <c r="P96" i="2" s="1"/>
  <c r="P150" i="2" a="1"/>
  <c r="P150" i="2" s="1"/>
  <c r="P416" i="2" a="1"/>
  <c r="P416" i="2" s="1"/>
  <c r="P199" i="2" a="1"/>
  <c r="P199" i="2" s="1"/>
  <c r="P622" i="2" a="1"/>
  <c r="P622" i="2" s="1"/>
  <c r="P656" i="2" a="1"/>
  <c r="P656" i="2" s="1"/>
  <c r="P195" i="2" a="1"/>
  <c r="P195" i="2" s="1"/>
  <c r="P406" i="2" a="1"/>
  <c r="P406" i="2" s="1"/>
  <c r="P317" i="2" a="1"/>
  <c r="P317" i="2" s="1"/>
  <c r="P911" i="2" a="1"/>
  <c r="P911" i="2" s="1"/>
  <c r="P844" i="2" a="1"/>
  <c r="P844" i="2" s="1"/>
  <c r="P917" i="2" a="1"/>
  <c r="P917" i="2" s="1"/>
  <c r="P977" i="2" a="1"/>
  <c r="P977" i="2" s="1"/>
  <c r="P577" i="2" a="1"/>
  <c r="P577" i="2" s="1"/>
  <c r="P680" i="2" a="1"/>
  <c r="P680" i="2" s="1"/>
  <c r="P892" i="2" a="1"/>
  <c r="P892" i="2" s="1"/>
  <c r="P811" i="2" a="1"/>
  <c r="P811" i="2" s="1"/>
  <c r="P30" i="2" a="1"/>
  <c r="P30" i="2" s="1"/>
  <c r="P270" i="2" a="1"/>
  <c r="P270" i="2" s="1"/>
  <c r="P264" i="2" a="1"/>
  <c r="P264" i="2" s="1"/>
  <c r="P305" i="2" a="1"/>
  <c r="P305" i="2" s="1"/>
  <c r="P841" i="2" a="1"/>
  <c r="P841" i="2" s="1"/>
  <c r="P752" i="2" a="1"/>
  <c r="P752" i="2" s="1"/>
  <c r="P603" i="2" a="1"/>
  <c r="P603" i="2" s="1"/>
  <c r="P79" i="2" a="1"/>
  <c r="P79" i="2" s="1"/>
  <c r="P48" i="2" a="1"/>
  <c r="P48" i="2" s="1"/>
  <c r="P413" i="2" a="1"/>
  <c r="P413" i="2" s="1"/>
  <c r="P715" i="2" a="1"/>
  <c r="P715" i="2" s="1"/>
  <c r="P531" i="2" a="1"/>
  <c r="P531" i="2" s="1"/>
  <c r="P770" i="2" a="1"/>
  <c r="P770" i="2" s="1"/>
  <c r="P348" i="2" a="1"/>
  <c r="P348" i="2" s="1"/>
  <c r="P466" i="2" a="1"/>
  <c r="P466" i="2" s="1"/>
  <c r="P848" i="2" a="1"/>
  <c r="P848" i="2" s="1"/>
  <c r="P407" i="2" a="1"/>
  <c r="P407" i="2" s="1"/>
  <c r="P129" i="2" a="1"/>
  <c r="P129" i="2" s="1"/>
  <c r="P905" i="2" a="1"/>
  <c r="P905" i="2" s="1"/>
  <c r="P794" i="2" a="1"/>
  <c r="P794" i="2" s="1"/>
  <c r="P390" i="2" a="1"/>
  <c r="P390" i="2" s="1"/>
  <c r="P819" i="2" a="1"/>
  <c r="P819" i="2" s="1"/>
  <c r="P648" i="2" a="1"/>
  <c r="P648" i="2" s="1"/>
  <c r="P429" i="2" a="1"/>
  <c r="P429" i="2" s="1"/>
  <c r="P210" i="2" a="1"/>
  <c r="P210" i="2" s="1"/>
  <c r="P278" i="2" a="1"/>
  <c r="P278" i="2" s="1"/>
  <c r="P764" i="2" a="1"/>
  <c r="P764" i="2" s="1"/>
  <c r="P913" i="2" a="1"/>
  <c r="P913" i="2" s="1"/>
  <c r="P700" i="2" a="1"/>
  <c r="P700" i="2" s="1"/>
  <c r="P304" i="2" a="1"/>
  <c r="P304" i="2" s="1"/>
  <c r="P949" i="2" a="1"/>
  <c r="P949" i="2" s="1"/>
  <c r="P230" i="2" a="1"/>
  <c r="P230" i="2" s="1"/>
  <c r="P782" i="2" a="1"/>
  <c r="P782" i="2" s="1"/>
  <c r="P490" i="2" a="1"/>
  <c r="P490" i="2" s="1"/>
  <c r="P739" i="2" a="1"/>
  <c r="P739" i="2" s="1"/>
  <c r="P747" i="2" a="1"/>
  <c r="P747" i="2" s="1"/>
  <c r="P959" i="2" a="1"/>
  <c r="P959" i="2" s="1"/>
  <c r="P49" i="2" a="1"/>
  <c r="P49" i="2" s="1"/>
  <c r="P273" i="2" a="1"/>
  <c r="P273" i="2" s="1"/>
  <c r="P736" i="2" a="1"/>
  <c r="P736" i="2" s="1"/>
  <c r="P167" i="2" a="1"/>
  <c r="P167" i="2" s="1"/>
  <c r="P849" i="2" a="1"/>
  <c r="P849" i="2" s="1"/>
  <c r="P753" i="2" a="1"/>
  <c r="P753" i="2" s="1"/>
  <c r="P163" i="2" a="1"/>
  <c r="P163" i="2" s="1"/>
  <c r="P554" i="2" a="1"/>
  <c r="P554" i="2" s="1"/>
  <c r="P533" i="2" a="1"/>
  <c r="P533" i="2" s="1"/>
  <c r="P60" i="2" a="1"/>
  <c r="P60" i="2" s="1"/>
  <c r="P963" i="2" a="1"/>
  <c r="P963" i="2" s="1"/>
  <c r="P315" i="2" a="1"/>
  <c r="P315" i="2" s="1"/>
  <c r="P469" i="2" a="1"/>
  <c r="P469" i="2" s="1"/>
  <c r="P170" i="2" a="1"/>
  <c r="P170" i="2" s="1"/>
  <c r="P580" i="2" a="1"/>
  <c r="P580" i="2" s="1"/>
  <c r="P98" i="2" a="1"/>
  <c r="P98" i="2" s="1"/>
  <c r="P342" i="2" a="1"/>
  <c r="P342" i="2" s="1"/>
  <c r="P349" i="2" a="1"/>
  <c r="P349" i="2" s="1"/>
  <c r="P478" i="2" a="1"/>
  <c r="P478" i="2" s="1"/>
  <c r="P235" i="2" a="1"/>
  <c r="P235" i="2" s="1"/>
  <c r="P654" i="2" a="1"/>
  <c r="P654" i="2" s="1"/>
  <c r="P487" i="2" a="1"/>
  <c r="P487" i="2" s="1"/>
  <c r="P345" i="2" a="1"/>
  <c r="P345" i="2" s="1"/>
  <c r="P568" i="2" a="1"/>
  <c r="P568" i="2" s="1"/>
  <c r="P328" i="2" a="1"/>
  <c r="P328" i="2" s="1"/>
  <c r="P456" i="2" a="1"/>
  <c r="P456" i="2" s="1"/>
  <c r="P330" i="2" a="1"/>
  <c r="P330" i="2" s="1"/>
  <c r="P901" i="2" a="1"/>
  <c r="P901" i="2" s="1"/>
  <c r="P968" i="2" a="1"/>
  <c r="P968" i="2" s="1"/>
  <c r="P632" i="2" a="1"/>
  <c r="P632" i="2" s="1"/>
  <c r="P688" i="2" a="1"/>
  <c r="P688" i="2" s="1"/>
  <c r="P276" i="2" a="1"/>
  <c r="P276" i="2" s="1"/>
  <c r="P850" i="2" a="1"/>
  <c r="P850" i="2" s="1"/>
  <c r="P149" i="2" a="1"/>
  <c r="P149" i="2" s="1"/>
  <c r="P842" i="2" a="1"/>
  <c r="P842" i="2" s="1"/>
  <c r="P935" i="2" a="1"/>
  <c r="P935" i="2" s="1"/>
  <c r="P572" i="2" a="1"/>
  <c r="P572" i="2" s="1"/>
  <c r="P519" i="2" a="1"/>
  <c r="P519" i="2" s="1"/>
  <c r="P642" i="2" a="1"/>
  <c r="P642" i="2" s="1"/>
  <c r="P448" i="2" a="1"/>
  <c r="P448" i="2" s="1"/>
  <c r="P484" i="2" a="1"/>
  <c r="P484" i="2" s="1"/>
  <c r="P941" i="2" a="1"/>
  <c r="P941" i="2" s="1"/>
  <c r="P729" i="2" a="1"/>
  <c r="P729" i="2" s="1"/>
  <c r="P922" i="2" a="1"/>
  <c r="P922" i="2" s="1"/>
  <c r="P146" i="2" a="1"/>
  <c r="P146" i="2" s="1"/>
  <c r="P646" i="2" a="1"/>
  <c r="P646" i="2" s="1"/>
  <c r="P860" i="2" a="1"/>
  <c r="P860" i="2" s="1"/>
  <c r="P772" i="2" a="1"/>
  <c r="P772" i="2" s="1"/>
  <c r="P925" i="2" a="1"/>
  <c r="P925" i="2" s="1"/>
  <c r="P182" i="2" a="1"/>
  <c r="P182" i="2" s="1"/>
  <c r="P567" i="2" a="1"/>
  <c r="P567" i="2" s="1"/>
  <c r="P289" i="2" a="1"/>
  <c r="P289" i="2" s="1"/>
  <c r="P633" i="2" a="1"/>
  <c r="P633" i="2" s="1"/>
  <c r="P209" i="2" a="1"/>
  <c r="P209" i="2" s="1"/>
  <c r="P745" i="2" a="1"/>
  <c r="P745" i="2" s="1"/>
  <c r="P591" i="2" a="1"/>
  <c r="P591" i="2" s="1"/>
  <c r="P552" i="2" a="1"/>
  <c r="P552" i="2" s="1"/>
  <c r="P790" i="2" a="1"/>
  <c r="P790" i="2" s="1"/>
  <c r="P748" i="2" a="1"/>
  <c r="P748" i="2" s="1"/>
  <c r="P227" i="2" a="1"/>
  <c r="P227" i="2" s="1"/>
  <c r="P395" i="2" a="1"/>
  <c r="P395" i="2" s="1"/>
  <c r="P445" i="2" a="1"/>
  <c r="P445" i="2" s="1"/>
  <c r="P290" i="2" a="1"/>
  <c r="P290" i="2" s="1"/>
  <c r="P64" i="2" a="1"/>
  <c r="P64" i="2" s="1"/>
  <c r="P957" i="2" a="1"/>
  <c r="P957" i="2" s="1"/>
  <c r="P145" i="2" a="1"/>
  <c r="P145" i="2" s="1"/>
  <c r="P973" i="2" a="1"/>
  <c r="P973" i="2" s="1"/>
  <c r="P962" i="2" a="1"/>
  <c r="P962" i="2" s="1"/>
  <c r="P254" i="2" a="1"/>
  <c r="P254" i="2" s="1"/>
  <c r="P459" i="2" a="1"/>
  <c r="P459" i="2" s="1"/>
  <c r="P812" i="2" a="1"/>
  <c r="P812" i="2" s="1"/>
  <c r="P412" i="2" a="1"/>
  <c r="P412" i="2" s="1"/>
  <c r="P884" i="2" a="1"/>
  <c r="P884" i="2" s="1"/>
  <c r="P527" i="2" a="1"/>
  <c r="P527" i="2" s="1"/>
  <c r="P196" i="2" a="1"/>
  <c r="P196" i="2" s="1"/>
  <c r="P334" i="2" a="1"/>
  <c r="P334" i="2" s="1"/>
  <c r="P631" i="2" a="1"/>
  <c r="P631" i="2" s="1"/>
  <c r="P651" i="2" a="1"/>
  <c r="P651" i="2" s="1"/>
  <c r="P669" i="2" a="1"/>
  <c r="P669" i="2" s="1"/>
  <c r="P394" i="2" a="1"/>
  <c r="P394" i="2" s="1"/>
  <c r="P967" i="2" a="1"/>
  <c r="P967" i="2" s="1"/>
  <c r="P360" i="2" a="1"/>
  <c r="P360" i="2" s="1"/>
  <c r="P828" i="2" a="1"/>
  <c r="P828" i="2" s="1"/>
  <c r="P623" i="2" a="1"/>
  <c r="P623" i="2" s="1"/>
  <c r="P461" i="2" a="1"/>
  <c r="P461" i="2" s="1"/>
  <c r="P722" i="2" a="1"/>
  <c r="P722" i="2" s="1"/>
  <c r="P408" i="2" a="1"/>
  <c r="P408" i="2" s="1"/>
  <c r="P156" i="2" a="1"/>
  <c r="P156" i="2" s="1"/>
  <c r="P125" i="2" a="1"/>
  <c r="P125" i="2" s="1"/>
  <c r="P306" i="2" a="1"/>
  <c r="P306" i="2" s="1"/>
  <c r="P621" i="2" a="1"/>
  <c r="P621" i="2" s="1"/>
  <c r="P885" i="2" a="1"/>
  <c r="P885" i="2" s="1"/>
  <c r="P6" i="2" a="1"/>
  <c r="P6" i="2" s="1"/>
  <c r="P57" i="2" a="1"/>
  <c r="P57" i="2" s="1"/>
  <c r="P551" i="2" a="1"/>
  <c r="P551" i="2" s="1"/>
  <c r="P545" i="2" a="1"/>
  <c r="P545" i="2" s="1"/>
  <c r="P205" i="2" a="1"/>
  <c r="P205" i="2" s="1"/>
  <c r="P820" i="2" a="1"/>
  <c r="P820" i="2" s="1"/>
  <c r="P757" i="2" a="1"/>
  <c r="P757" i="2" s="1"/>
  <c r="P41" i="2" a="1"/>
  <c r="P41" i="2" s="1"/>
  <c r="P260" i="2" a="1"/>
  <c r="P260" i="2" s="1"/>
  <c r="P479" i="2" a="1"/>
  <c r="P479" i="2" s="1"/>
  <c r="P245" i="2" a="1"/>
  <c r="P245" i="2" s="1"/>
  <c r="P369" i="2" a="1"/>
  <c r="P369" i="2" s="1"/>
  <c r="P895" i="2" a="1"/>
  <c r="P895" i="2" s="1"/>
  <c r="P67" i="2" a="1"/>
  <c r="P67" i="2" s="1"/>
  <c r="P169" i="2" a="1"/>
  <c r="P169" i="2" s="1"/>
  <c r="P682" i="2" a="1"/>
  <c r="P682" i="2" s="1"/>
  <c r="P921" i="2" a="1"/>
  <c r="P921" i="2" s="1"/>
  <c r="P287" i="2" a="1"/>
  <c r="P287" i="2" s="1"/>
  <c r="P362" i="2" a="1"/>
  <c r="P362" i="2" s="1"/>
  <c r="P311" i="2" a="1"/>
  <c r="P311" i="2" s="1"/>
  <c r="P593" i="2" a="1"/>
  <c r="P593" i="2" s="1"/>
  <c r="P34" i="2" a="1"/>
  <c r="P34" i="2" s="1"/>
  <c r="P20" i="2" a="1"/>
  <c r="P20" i="2" s="1"/>
  <c r="P259" i="2" a="1"/>
  <c r="P259" i="2" s="1"/>
  <c r="P147" i="2" a="1"/>
  <c r="P147" i="2" s="1"/>
  <c r="P951" i="2" a="1"/>
  <c r="P951" i="2" s="1"/>
  <c r="P188" i="2" a="1"/>
  <c r="P188" i="2" s="1"/>
  <c r="P495" i="2" a="1"/>
  <c r="P495" i="2" s="1"/>
  <c r="P956" i="2" a="1"/>
  <c r="P956" i="2" s="1"/>
  <c r="P451" i="2" a="1"/>
  <c r="P451" i="2" s="1"/>
  <c r="P266" i="2" a="1"/>
  <c r="P266" i="2" s="1"/>
  <c r="P282" i="2" a="1"/>
  <c r="P282" i="2" s="1"/>
  <c r="P713" i="2" a="1"/>
  <c r="P713" i="2" s="1"/>
  <c r="P80" i="2" a="1"/>
  <c r="P80" i="2" s="1"/>
  <c r="P750" i="2" a="1"/>
  <c r="P750" i="2" s="1"/>
  <c r="P627" i="2" a="1"/>
  <c r="P627" i="2" s="1"/>
  <c r="P599" i="2" a="1"/>
  <c r="P599" i="2" s="1"/>
  <c r="P343" i="2" a="1"/>
  <c r="P343" i="2" s="1"/>
  <c r="P730" i="2" a="1"/>
  <c r="P730" i="2" s="1"/>
  <c r="P823" i="2" a="1"/>
  <c r="P823" i="2" s="1"/>
  <c r="P285" i="2" a="1"/>
  <c r="P285" i="2" s="1"/>
  <c r="P364" i="2" a="1"/>
  <c r="P364" i="2" s="1"/>
  <c r="P939" i="2" a="1"/>
  <c r="P939" i="2" s="1"/>
  <c r="P594" i="2" a="1"/>
  <c r="P594" i="2" s="1"/>
  <c r="P614" i="2" a="1"/>
  <c r="P614" i="2" s="1"/>
  <c r="P297" i="2" a="1"/>
  <c r="P297" i="2" s="1"/>
  <c r="P859" i="2" a="1"/>
  <c r="P859" i="2" s="1"/>
  <c r="P420" i="2" a="1"/>
  <c r="P420" i="2" s="1"/>
  <c r="P302" i="2" a="1"/>
  <c r="P302" i="2" s="1"/>
  <c r="P202" i="2" a="1"/>
  <c r="P202" i="2" s="1"/>
  <c r="P525" i="2" a="1"/>
  <c r="P525" i="2" s="1"/>
  <c r="P505" i="2" a="1"/>
  <c r="P505" i="2" s="1"/>
  <c r="P183" i="2" a="1"/>
  <c r="P183" i="2" s="1"/>
  <c r="P284" i="2" a="1"/>
  <c r="P284" i="2" s="1"/>
  <c r="P835" i="2" a="1"/>
  <c r="P835" i="2" s="1"/>
  <c r="P658" i="2" a="1"/>
  <c r="P658" i="2" s="1"/>
  <c r="P51" i="2" a="1"/>
  <c r="P51" i="2" s="1"/>
  <c r="P249" i="2" a="1"/>
  <c r="P249" i="2" s="1"/>
  <c r="P372" i="2" a="1"/>
  <c r="P372" i="2" s="1"/>
  <c r="P894" i="2" a="1"/>
  <c r="P894" i="2" s="1"/>
  <c r="P379" i="2" a="1"/>
  <c r="P379" i="2" s="1"/>
  <c r="P851" i="2" a="1"/>
  <c r="P851" i="2" s="1"/>
  <c r="P293" i="2" a="1"/>
  <c r="P293" i="2" s="1"/>
  <c r="P373" i="2" a="1"/>
  <c r="P373" i="2" s="1"/>
  <c r="P436" i="2" a="1"/>
  <c r="P436" i="2" s="1"/>
  <c r="P914" i="2" a="1"/>
  <c r="P914" i="2" s="1"/>
  <c r="P40" i="2" a="1"/>
  <c r="P40" i="2" s="1"/>
  <c r="P707" i="2" a="1"/>
  <c r="P707" i="2" s="1"/>
  <c r="P400" i="2" a="1"/>
  <c r="P400" i="2" s="1"/>
  <c r="P283" i="2" a="1"/>
  <c r="P283" i="2" s="1"/>
  <c r="P36" i="2" a="1"/>
  <c r="P36" i="2" s="1"/>
  <c r="P370" i="2" a="1"/>
  <c r="P370" i="2" s="1"/>
  <c r="P25" i="2" a="1"/>
  <c r="P25" i="2" s="1"/>
  <c r="P28" i="2" a="1"/>
  <c r="P28" i="2" s="1"/>
  <c r="P666" i="2" a="1"/>
  <c r="P666" i="2" s="1"/>
  <c r="P65" i="2" a="1"/>
  <c r="P65" i="2" s="1"/>
  <c r="P476" i="2" a="1"/>
  <c r="P476" i="2" s="1"/>
  <c r="P920" i="2" a="1"/>
  <c r="P920" i="2" s="1"/>
  <c r="P464" i="2" a="1"/>
  <c r="P464" i="2" s="1"/>
  <c r="P185" i="2" a="1"/>
  <c r="P185" i="2" s="1"/>
  <c r="P186" i="2" a="1"/>
  <c r="P186" i="2" s="1"/>
  <c r="P755" i="2" a="1"/>
  <c r="P755" i="2" s="1"/>
  <c r="P721" i="2" a="1"/>
  <c r="P721" i="2" s="1"/>
  <c r="P350" i="2" a="1"/>
  <c r="P350" i="2" s="1"/>
  <c r="P483" i="2" a="1"/>
  <c r="P483" i="2" s="1"/>
  <c r="P652" i="2" a="1"/>
  <c r="P652" i="2" s="1"/>
  <c r="P766" i="2" a="1"/>
  <c r="P766" i="2" s="1"/>
  <c r="P896" i="2" a="1"/>
  <c r="P896" i="2" s="1"/>
  <c r="P414" i="2" a="1"/>
  <c r="P414" i="2" s="1"/>
  <c r="P497" i="2" a="1"/>
  <c r="P497" i="2" s="1"/>
  <c r="P470" i="2" a="1"/>
  <c r="P470" i="2" s="1"/>
  <c r="P562" i="2" a="1"/>
  <c r="P562" i="2" s="1"/>
  <c r="P366" i="2" a="1"/>
  <c r="P366" i="2" s="1"/>
  <c r="P389" i="2" a="1"/>
  <c r="P389" i="2" s="1"/>
  <c r="P649" i="2" a="1"/>
  <c r="P649" i="2" s="1"/>
  <c r="P37" i="2" a="1"/>
  <c r="P37" i="2" s="1"/>
  <c r="P417" i="2" a="1"/>
  <c r="P417" i="2" s="1"/>
  <c r="P367" i="2" a="1"/>
  <c r="P367" i="2" s="1"/>
  <c r="P325" i="2" a="1"/>
  <c r="P325" i="2" s="1"/>
  <c r="P475" i="2" a="1"/>
  <c r="P475" i="2" s="1"/>
  <c r="P346" i="2" a="1"/>
  <c r="P346" i="2" s="1"/>
  <c r="P945" i="2" a="1"/>
  <c r="P945" i="2" s="1"/>
  <c r="P616" i="2" a="1"/>
  <c r="P616" i="2" s="1"/>
  <c r="P142" i="2" a="1"/>
  <c r="P142" i="2" s="1"/>
  <c r="P741" i="2" a="1"/>
  <c r="P741" i="2" s="1"/>
  <c r="P194" i="2" a="1"/>
  <c r="P194" i="2" s="1"/>
  <c r="P585" i="2" a="1"/>
  <c r="P585" i="2" s="1"/>
  <c r="P322" i="2" a="1"/>
  <c r="P322" i="2" s="1"/>
  <c r="P341" i="2" a="1"/>
  <c r="P341" i="2" s="1"/>
  <c r="P796" i="2" a="1"/>
  <c r="P796" i="2" s="1"/>
  <c r="P75" i="2" a="1"/>
  <c r="P75" i="2" s="1"/>
  <c r="P68" i="2" a="1"/>
  <c r="P68" i="2" s="1"/>
  <c r="P86" i="2" a="1"/>
  <c r="P86" i="2" s="1"/>
  <c r="P709" i="2" a="1"/>
  <c r="P709" i="2" s="1"/>
  <c r="P723" i="2" a="1"/>
  <c r="P723" i="2" s="1"/>
  <c r="P923" i="2" a="1"/>
  <c r="P923" i="2" s="1"/>
  <c r="P918" i="2" a="1"/>
  <c r="P918" i="2" s="1"/>
  <c r="P589" i="2" a="1"/>
  <c r="P589" i="2" s="1"/>
  <c r="P135" i="2" a="1"/>
  <c r="P135" i="2" s="1"/>
  <c r="P442" i="2" a="1"/>
  <c r="P442" i="2" s="1"/>
  <c r="P93" i="2" a="1"/>
  <c r="P93" i="2" s="1"/>
  <c r="P457" i="2" a="1"/>
  <c r="P457" i="2" s="1"/>
  <c r="P530" i="2" a="1"/>
  <c r="P530" i="2" s="1"/>
  <c r="P189" i="2" a="1"/>
  <c r="P189" i="2" s="1"/>
  <c r="P214" i="2" a="1"/>
  <c r="P214" i="2" s="1"/>
  <c r="P361" i="2" a="1"/>
  <c r="P361" i="2" s="1"/>
  <c r="P571" i="2" a="1"/>
  <c r="P571" i="2" s="1"/>
  <c r="P508" i="2" a="1"/>
  <c r="P508" i="2" s="1"/>
  <c r="P24" i="2" a="1"/>
  <c r="P24" i="2" s="1"/>
  <c r="P855" i="2" a="1"/>
  <c r="P855" i="2" s="1"/>
  <c r="P734" i="2" a="1"/>
  <c r="P734" i="2" s="1"/>
  <c r="P838" i="2" a="1"/>
  <c r="P838" i="2" s="1"/>
  <c r="P473" i="2" a="1"/>
  <c r="P473" i="2" s="1"/>
  <c r="P382" i="2" a="1"/>
  <c r="P382" i="2" s="1"/>
  <c r="P581" i="2" a="1"/>
  <c r="P581" i="2" s="1"/>
  <c r="P504" i="2" a="1"/>
  <c r="P504" i="2" s="1"/>
  <c r="P795" i="2" a="1"/>
  <c r="P795" i="2" s="1"/>
  <c r="P735" i="2" a="1"/>
  <c r="P735" i="2" s="1"/>
  <c r="P190" i="2" a="1"/>
  <c r="P190" i="2" s="1"/>
  <c r="P870" i="2" a="1"/>
  <c r="P870" i="2" s="1"/>
  <c r="P969" i="2" a="1"/>
  <c r="P969" i="2" s="1"/>
  <c r="P832" i="2" a="1"/>
  <c r="P832" i="2" s="1"/>
  <c r="P809" i="2" a="1"/>
  <c r="P809" i="2" s="1"/>
  <c r="P733" i="2" a="1"/>
  <c r="P733" i="2" s="1"/>
  <c r="P936" i="2" a="1"/>
  <c r="P936" i="2" s="1"/>
  <c r="P781" i="2" a="1"/>
  <c r="P781" i="2" s="1"/>
  <c r="P785" i="2" a="1"/>
  <c r="P785" i="2" s="1"/>
  <c r="P565" i="2" a="1"/>
  <c r="P565" i="2" s="1"/>
  <c r="P635" i="2" a="1"/>
  <c r="P635" i="2" s="1"/>
  <c r="P587" i="2" a="1"/>
  <c r="P587" i="2" s="1"/>
  <c r="P517" i="2" a="1"/>
  <c r="P517" i="2" s="1"/>
  <c r="P7" i="2" a="1"/>
  <c r="P7" i="2" s="1"/>
  <c r="P74" i="2" a="1"/>
  <c r="P74" i="2" s="1"/>
  <c r="P66" i="2" a="1"/>
  <c r="P66" i="2" s="1"/>
  <c r="P516" i="2" a="1"/>
  <c r="P516" i="2" s="1"/>
  <c r="P843" i="2" a="1"/>
  <c r="P843" i="2" s="1"/>
  <c r="P201" i="2" a="1"/>
  <c r="P201" i="2" s="1"/>
  <c r="P154" i="2" a="1"/>
  <c r="P154" i="2" s="1"/>
  <c r="P889" i="2" a="1"/>
  <c r="P889" i="2" s="1"/>
  <c r="P500" i="2" a="1"/>
  <c r="P500" i="2" s="1"/>
  <c r="P814" i="2" a="1"/>
  <c r="P814" i="2" s="1"/>
  <c r="P798" i="2" a="1"/>
  <c r="P798" i="2" s="1"/>
  <c r="P173" i="2" a="1"/>
  <c r="P173" i="2" s="1"/>
  <c r="P22" i="2" a="1"/>
  <c r="P22" i="2" s="1"/>
  <c r="P228" i="2" a="1"/>
  <c r="P228" i="2" s="1"/>
  <c r="P761" i="2" a="1"/>
  <c r="P761" i="2" s="1"/>
  <c r="P481" i="2" a="1"/>
  <c r="P481" i="2" s="1"/>
  <c r="P95" i="2" a="1"/>
  <c r="P95" i="2" s="1"/>
  <c r="P557" i="2" a="1"/>
  <c r="P557" i="2" s="1"/>
  <c r="P910" i="2" a="1"/>
  <c r="P910" i="2" s="1"/>
  <c r="P242" i="2" a="1"/>
  <c r="P242" i="2" s="1"/>
  <c r="P46" i="2" a="1"/>
  <c r="P46" i="2" s="1"/>
  <c r="P191" i="2" a="1"/>
  <c r="P191" i="2" s="1"/>
  <c r="P861" i="2" a="1"/>
  <c r="P861" i="2" s="1"/>
  <c r="P221" i="2" a="1"/>
  <c r="P221" i="2" s="1"/>
  <c r="P208" i="2" a="1"/>
  <c r="P208" i="2" s="1"/>
  <c r="P103" i="2" a="1"/>
  <c r="P103" i="2" s="1"/>
  <c r="P839" i="2" a="1"/>
  <c r="P839" i="2" s="1"/>
  <c r="P14" i="2" a="1"/>
  <c r="P14" i="2" s="1"/>
  <c r="P513" i="2" a="1"/>
  <c r="P513" i="2" s="1"/>
  <c r="P122" i="2" a="1"/>
  <c r="P122" i="2" s="1"/>
  <c r="P856" i="2" a="1"/>
  <c r="P856" i="2" s="1"/>
  <c r="P706" i="2" a="1"/>
  <c r="P706" i="2" s="1"/>
  <c r="P312" i="2" a="1"/>
  <c r="P312" i="2" s="1"/>
  <c r="P121" i="2" a="1"/>
  <c r="P121" i="2" s="1"/>
  <c r="P904" i="2" a="1"/>
  <c r="P904" i="2" s="1"/>
  <c r="P511" i="2" a="1"/>
  <c r="P511" i="2" s="1"/>
  <c r="P610" i="2" a="1"/>
  <c r="P610" i="2" s="1"/>
  <c r="P836" i="2" a="1"/>
  <c r="P836" i="2" s="1"/>
  <c r="P924" i="2" a="1"/>
  <c r="P924" i="2" s="1"/>
  <c r="P579" i="2" a="1"/>
  <c r="P579" i="2" s="1"/>
  <c r="P269" i="2" a="1"/>
  <c r="P269" i="2" s="1"/>
  <c r="P934" i="2" a="1"/>
  <c r="P934" i="2" s="1"/>
  <c r="P296" i="2" a="1"/>
  <c r="P296" i="2" s="1"/>
  <c r="P601" i="2" a="1"/>
  <c r="P601" i="2" s="1"/>
  <c r="P452" i="2" a="1"/>
  <c r="P452" i="2" s="1"/>
  <c r="P368" i="2" a="1"/>
  <c r="P368" i="2" s="1"/>
  <c r="P140" i="2" a="1"/>
  <c r="P140" i="2" s="1"/>
  <c r="P4" i="2" a="1"/>
  <c r="P4" i="2" s="1"/>
  <c r="P937" i="2" a="1"/>
  <c r="P937" i="2" s="1"/>
  <c r="P16" i="2" a="1"/>
  <c r="P16" i="2" s="1"/>
  <c r="P425" i="2" a="1"/>
  <c r="P425" i="2" s="1"/>
  <c r="P564" i="2" a="1"/>
  <c r="P564" i="2" s="1"/>
  <c r="P462" i="2" a="1"/>
  <c r="P462" i="2" s="1"/>
  <c r="P799" i="2" a="1"/>
  <c r="P799" i="2" s="1"/>
  <c r="P771" i="2" a="1"/>
  <c r="P771" i="2" s="1"/>
  <c r="P152" i="2" a="1"/>
  <c r="P152" i="2" s="1"/>
  <c r="P846" i="2" a="1"/>
  <c r="P846" i="2" s="1"/>
  <c r="P865" i="2" a="1"/>
  <c r="P865" i="2" s="1"/>
  <c r="P824" i="2" a="1"/>
  <c r="P824" i="2" s="1"/>
  <c r="P754" i="2" a="1"/>
  <c r="P754" i="2" s="1"/>
  <c r="P629" i="2" a="1"/>
  <c r="P629" i="2" s="1"/>
  <c r="P403" i="2" a="1"/>
  <c r="P403" i="2" s="1"/>
  <c r="P744" i="2" a="1"/>
  <c r="P744" i="2" s="1"/>
  <c r="P906" i="2" a="1"/>
  <c r="P906" i="2" s="1"/>
  <c r="P137" i="2" a="1"/>
  <c r="P137" i="2" s="1"/>
  <c r="P512" i="2" a="1"/>
  <c r="P512" i="2" s="1"/>
  <c r="P71" i="2" a="1"/>
  <c r="P71" i="2" s="1"/>
  <c r="P960" i="2" a="1"/>
  <c r="P960" i="2" s="1"/>
  <c r="P52" i="2" a="1"/>
  <c r="P52" i="2" s="1"/>
  <c r="P926" i="2" a="1"/>
  <c r="P926" i="2" s="1"/>
  <c r="P9" i="2" a="1"/>
  <c r="P9" i="2" s="1"/>
  <c r="P862" i="2" a="1"/>
  <c r="P862" i="2" s="1"/>
  <c r="P3" i="2" a="1"/>
  <c r="P3" i="2" s="1"/>
  <c r="P710" i="2" a="1"/>
  <c r="P710" i="2" s="1"/>
  <c r="P933" i="2" a="1"/>
  <c r="P933" i="2" s="1"/>
  <c r="P88" i="2" a="1"/>
  <c r="P88" i="2" s="1"/>
  <c r="P118" i="2" a="1"/>
  <c r="P118" i="2" s="1"/>
  <c r="P845" i="2" a="1"/>
  <c r="P845" i="2" s="1"/>
  <c r="P477" i="2" a="1"/>
  <c r="P477" i="2" s="1"/>
  <c r="P611" i="2" a="1"/>
  <c r="P611" i="2" s="1"/>
  <c r="P5" i="2" a="1"/>
  <c r="P5" i="2" s="1"/>
  <c r="P87" i="2" a="1"/>
  <c r="P87" i="2" s="1"/>
  <c r="P265" i="2" a="1"/>
  <c r="P265" i="2" s="1"/>
  <c r="P612" i="2" a="1"/>
  <c r="P612" i="2" s="1"/>
  <c r="P116" i="2" a="1"/>
  <c r="P116" i="2" s="1"/>
  <c r="P592" i="2" a="1"/>
  <c r="P592" i="2" s="1"/>
  <c r="P943" i="2" a="1"/>
  <c r="P943" i="2" s="1"/>
  <c r="P890" i="2" a="1"/>
  <c r="P890" i="2" s="1"/>
  <c r="P279" i="2" a="1"/>
  <c r="P279" i="2" s="1"/>
  <c r="P660" i="2" a="1"/>
  <c r="P660" i="2" s="1"/>
  <c r="P630" i="2" a="1"/>
  <c r="P630" i="2" s="1"/>
  <c r="P549" i="2" a="1"/>
  <c r="P549" i="2" s="1"/>
  <c r="P136" i="2" a="1"/>
  <c r="P136" i="2" s="1"/>
  <c r="P174" i="2" a="1"/>
  <c r="P174" i="2" s="1"/>
  <c r="P829" i="2" a="1"/>
  <c r="P829" i="2" s="1"/>
  <c r="P869" i="2" a="1"/>
  <c r="P869" i="2" s="1"/>
  <c r="P203" i="2" a="1"/>
  <c r="P203" i="2" s="1"/>
  <c r="P873" i="2" a="1"/>
  <c r="P873" i="2" s="1"/>
  <c r="P822" i="2" a="1"/>
  <c r="P822" i="2" s="1"/>
  <c r="P815" i="2" a="1"/>
  <c r="P815" i="2" s="1"/>
  <c r="P534" i="2" a="1"/>
  <c r="P534" i="2" s="1"/>
  <c r="P930" i="2" a="1"/>
  <c r="P930" i="2" s="1"/>
  <c r="P605" i="2" a="1"/>
  <c r="P605" i="2" s="1"/>
  <c r="P257" i="2" a="1"/>
  <c r="P257" i="2" s="1"/>
  <c r="P132" i="2" a="1"/>
  <c r="P132" i="2" s="1"/>
  <c r="P134" i="2" a="1"/>
  <c r="P134" i="2" s="1"/>
  <c r="P515" i="2" a="1"/>
  <c r="P515" i="2" s="1"/>
  <c r="P231" i="2" a="1"/>
  <c r="P231" i="2" s="1"/>
  <c r="P164" i="2" a="1"/>
  <c r="P164" i="2" s="1"/>
  <c r="P171" i="2" a="1"/>
  <c r="P171" i="2" s="1"/>
  <c r="P215" i="2" a="1"/>
  <c r="P215" i="2" s="1"/>
  <c r="P897" i="2" a="1"/>
  <c r="P897" i="2" s="1"/>
  <c r="P942" i="2" a="1"/>
  <c r="P942" i="2" s="1"/>
  <c r="P47" i="2" a="1"/>
  <c r="P47" i="2" s="1"/>
  <c r="P501" i="2" a="1"/>
  <c r="P501" i="2" s="1"/>
  <c r="P141" i="2" a="1"/>
  <c r="P141" i="2" s="1"/>
  <c r="P609" i="2" a="1"/>
  <c r="P609" i="2" s="1"/>
  <c r="P866" i="2" a="1"/>
  <c r="P866" i="2" s="1"/>
  <c r="P76" i="2" a="1"/>
  <c r="P76" i="2" s="1"/>
  <c r="P426" i="2" a="1"/>
  <c r="P426" i="2" s="1"/>
  <c r="P698" i="2" a="1"/>
  <c r="P698" i="2" s="1"/>
  <c r="P731" i="2" a="1"/>
  <c r="P731" i="2" s="1"/>
  <c r="P371" i="2" a="1"/>
  <c r="P371" i="2" s="1"/>
  <c r="P438" i="2" a="1"/>
  <c r="P438" i="2" s="1"/>
  <c r="P558" i="2" a="1"/>
  <c r="P558" i="2" s="1"/>
  <c r="P672" i="2" a="1"/>
  <c r="P672" i="2" s="1"/>
  <c r="P643" i="2" a="1"/>
  <c r="P643" i="2" s="1"/>
  <c r="P863" i="2" a="1"/>
  <c r="P863" i="2" s="1"/>
  <c r="P805" i="2" a="1"/>
  <c r="P805" i="2" s="1"/>
  <c r="P674" i="2" a="1"/>
  <c r="P674" i="2" s="1"/>
  <c r="P54" i="2" a="1"/>
  <c r="P54" i="2" s="1"/>
  <c r="P615" i="2" a="1"/>
  <c r="P615" i="2" s="1"/>
  <c r="P81" i="2" a="1"/>
  <c r="P81" i="2" s="1"/>
  <c r="P695" i="2" a="1"/>
  <c r="P695" i="2" s="1"/>
  <c r="P106" i="2" a="1"/>
  <c r="P106" i="2" s="1"/>
  <c r="P953" i="2" a="1"/>
  <c r="P953" i="2" s="1"/>
  <c r="P576" i="2" a="1"/>
  <c r="P576" i="2" s="1"/>
  <c r="P496" i="2" a="1"/>
  <c r="P496" i="2" s="1"/>
  <c r="P867" i="2" a="1"/>
  <c r="P867" i="2" s="1"/>
  <c r="P804" i="2" a="1"/>
  <c r="P804" i="2" s="1"/>
  <c r="P746" i="2" a="1"/>
  <c r="P746" i="2" s="1"/>
  <c r="P743" i="2" a="1"/>
  <c r="P743" i="2" s="1"/>
  <c r="P119" i="2" a="1"/>
  <c r="P119" i="2" s="1"/>
  <c r="P776" i="2" a="1"/>
  <c r="P776" i="2" s="1"/>
  <c r="P547" i="2" a="1"/>
  <c r="P547" i="2" s="1"/>
  <c r="P35" i="2" a="1"/>
  <c r="P35" i="2" s="1"/>
  <c r="P101" i="2" a="1"/>
  <c r="P101" i="2" s="1"/>
  <c r="P718" i="2" a="1"/>
  <c r="P718" i="2" s="1"/>
  <c r="P105" i="2" a="1"/>
  <c r="P105" i="2" s="1"/>
  <c r="P708" i="2" a="1"/>
  <c r="P708" i="2" s="1"/>
  <c r="P944" i="2" a="1"/>
  <c r="P944" i="2" s="1"/>
  <c r="P584" i="2" a="1"/>
  <c r="P584" i="2" s="1"/>
  <c r="P272" i="2" a="1"/>
  <c r="P272" i="2" s="1"/>
  <c r="P192" i="2" a="1"/>
  <c r="P192" i="2" s="1"/>
  <c r="P303" i="2" a="1"/>
  <c r="P303" i="2" s="1"/>
  <c r="P526" i="2" a="1"/>
  <c r="P526" i="2" s="1"/>
  <c r="P351" i="2" a="1"/>
  <c r="P351" i="2" s="1"/>
  <c r="P53" i="2" a="1"/>
  <c r="P53" i="2" s="1"/>
  <c r="P161" i="2" a="1"/>
  <c r="P161" i="2" s="1"/>
  <c r="P385" i="2" a="1"/>
  <c r="P385" i="2" s="1"/>
  <c r="P480" i="2" a="1"/>
  <c r="P480" i="2" s="1"/>
  <c r="P23" i="2" a="1"/>
  <c r="P23" i="2" s="1"/>
  <c r="P883" i="2" a="1"/>
  <c r="P883" i="2" s="1"/>
  <c r="P702" i="2" a="1"/>
  <c r="P702" i="2" s="1"/>
  <c r="P887" i="2" a="1"/>
  <c r="P887" i="2" s="1"/>
  <c r="P70" i="2" a="1"/>
  <c r="P70" i="2" s="1"/>
  <c r="P411" i="2" a="1"/>
  <c r="P411" i="2" s="1"/>
  <c r="P647" i="2" a="1"/>
  <c r="P647" i="2" s="1"/>
  <c r="P640" i="2" a="1"/>
  <c r="P640" i="2" s="1"/>
  <c r="P123" i="2" a="1"/>
  <c r="P123" i="2" s="1"/>
  <c r="P108" i="2" a="1"/>
  <c r="P108" i="2" s="1"/>
  <c r="P597" i="2" a="1"/>
  <c r="P597" i="2" s="1"/>
  <c r="P234" i="2" a="1"/>
  <c r="P234" i="2" s="1"/>
  <c r="P767" i="2" a="1"/>
  <c r="P767" i="2" s="1"/>
  <c r="P509" i="2" a="1"/>
  <c r="P509" i="2" s="1"/>
  <c r="P56" i="2" a="1"/>
  <c r="P56" i="2" s="1"/>
  <c r="P229" i="2" a="1"/>
  <c r="P229" i="2" s="1"/>
  <c r="P94" i="2" a="1"/>
  <c r="P94" i="2" s="1"/>
  <c r="P800" i="2" a="1"/>
  <c r="P800" i="2" s="1"/>
  <c r="P948" i="2" a="1"/>
  <c r="P948" i="2" s="1"/>
  <c r="P15" i="2" a="1"/>
  <c r="P15" i="2" s="1"/>
  <c r="P683" i="2" a="1"/>
  <c r="P683" i="2" s="1"/>
  <c r="P460" i="2" a="1"/>
  <c r="P460" i="2" s="1"/>
  <c r="P124" i="2" a="1"/>
  <c r="P124" i="2" s="1"/>
  <c r="P115" i="2" a="1"/>
  <c r="P115" i="2" s="1"/>
  <c r="P634" i="2" a="1"/>
  <c r="P634" i="2" s="1"/>
  <c r="P919" i="2" a="1"/>
  <c r="P919" i="2" s="1"/>
  <c r="P392" i="2" a="1"/>
  <c r="P392" i="2" s="1"/>
  <c r="P528" i="2" a="1"/>
  <c r="P528" i="2" s="1"/>
  <c r="P938" i="2" a="1"/>
  <c r="P938" i="2" s="1"/>
  <c r="P258" i="2" a="1"/>
  <c r="P258" i="2" s="1"/>
  <c r="P732" i="2" a="1"/>
  <c r="P732" i="2" s="1"/>
  <c r="P852" i="2" a="1"/>
  <c r="P852" i="2" s="1"/>
  <c r="P165" i="2" a="1"/>
  <c r="P165" i="2" s="1"/>
  <c r="P331" i="2" a="1"/>
  <c r="P331" i="2" s="1"/>
  <c r="P248" i="2" a="1"/>
  <c r="P248" i="2" s="1"/>
  <c r="P667" i="2" a="1"/>
  <c r="P667" i="2" s="1"/>
  <c r="P356" i="2" a="1"/>
  <c r="P356" i="2" s="1"/>
  <c r="P491" i="2" a="1"/>
  <c r="P491" i="2" s="1"/>
  <c r="P692" i="2" a="1"/>
  <c r="P692" i="2" s="1"/>
  <c r="P219" i="2" a="1"/>
  <c r="P219" i="2" s="1"/>
  <c r="P2" i="2" a="1"/>
  <c r="P2" i="2" s="1"/>
  <c r="P301" i="2" a="1"/>
  <c r="P301" i="2" s="1"/>
  <c r="P697" i="2" a="1"/>
  <c r="P697" i="2" s="1"/>
  <c r="P727" i="2" a="1"/>
  <c r="P727" i="2" s="1"/>
  <c r="P380" i="2" a="1"/>
  <c r="P380" i="2" s="1"/>
  <c r="P583" i="2" a="1"/>
  <c r="P583" i="2" s="1"/>
  <c r="P965" i="2" a="1"/>
  <c r="P965" i="2" s="1"/>
  <c r="P717" i="2" a="1"/>
  <c r="P717" i="2" s="1"/>
  <c r="P964" i="2" a="1"/>
  <c r="P964" i="2" s="1"/>
  <c r="P444" i="2" a="1"/>
  <c r="P444" i="2" s="1"/>
  <c r="P241" i="2" a="1"/>
  <c r="P241" i="2" s="1"/>
  <c r="P493" i="2" a="1"/>
  <c r="P493" i="2" s="1"/>
  <c r="P8" i="2" a="1"/>
  <c r="P8" i="2" s="1"/>
  <c r="P144" i="2" a="1"/>
  <c r="P144" i="2" s="1"/>
  <c r="P871" i="2" a="1"/>
  <c r="P871" i="2" s="1"/>
  <c r="P347" i="2" a="1"/>
  <c r="P347" i="2" s="1"/>
  <c r="P876" i="2" a="1"/>
  <c r="P876" i="2" s="1"/>
  <c r="P374" i="2" a="1"/>
  <c r="P374" i="2" s="1"/>
  <c r="P714" i="2" a="1"/>
  <c r="P714" i="2" s="1"/>
  <c r="P878" i="2" a="1"/>
  <c r="P878" i="2" s="1"/>
  <c r="P810" i="2" a="1"/>
  <c r="P810" i="2" s="1"/>
  <c r="P765" i="2" a="1"/>
  <c r="P765" i="2" s="1"/>
  <c r="P763" i="2" a="1"/>
  <c r="P763" i="2" s="1"/>
  <c r="P891" i="2" a="1"/>
  <c r="P891" i="2" s="1"/>
  <c r="P126" i="2" a="1"/>
  <c r="P126" i="2" s="1"/>
  <c r="P358" i="2" a="1"/>
  <c r="P358" i="2" s="1"/>
  <c r="P857" i="2" a="1"/>
  <c r="P857" i="2" s="1"/>
  <c r="P263" i="2" a="1"/>
  <c r="P263" i="2" s="1"/>
  <c r="P485" i="2" a="1"/>
  <c r="P485" i="2" s="1"/>
  <c r="P309" i="2" a="1"/>
  <c r="P309" i="2" s="1"/>
  <c r="P211" i="2" a="1"/>
  <c r="P211" i="2" s="1"/>
  <c r="P538" i="2" a="1"/>
  <c r="P538" i="2" s="1"/>
  <c r="P168" i="2" a="1"/>
  <c r="P168" i="2" s="1"/>
  <c r="P689" i="2" a="1"/>
  <c r="P689" i="2" s="1"/>
  <c r="P419" i="2" a="1"/>
  <c r="P419" i="2" s="1"/>
  <c r="P139" i="2" a="1"/>
  <c r="P139" i="2" s="1"/>
  <c r="P676" i="2" a="1"/>
  <c r="P676" i="2" s="1"/>
  <c r="P359" i="2" a="1"/>
  <c r="P359" i="2" s="1"/>
  <c r="P397" i="2" a="1"/>
  <c r="P397" i="2" s="1"/>
  <c r="P778" i="2" a="1"/>
  <c r="P778" i="2" s="1"/>
  <c r="P91" i="2" a="1"/>
  <c r="P91" i="2" s="1"/>
  <c r="P881" i="2" a="1"/>
  <c r="P881" i="2" s="1"/>
  <c r="P384" i="2" a="1"/>
  <c r="P384" i="2" s="1"/>
  <c r="P927" i="2" a="1"/>
  <c r="P927" i="2" s="1"/>
  <c r="P253" i="2" a="1"/>
  <c r="P253" i="2" s="1"/>
  <c r="P899" i="2" a="1"/>
  <c r="P899" i="2" s="1"/>
  <c r="P600" i="2" a="1"/>
  <c r="P600" i="2" s="1"/>
  <c r="P797" i="2" a="1"/>
  <c r="P797" i="2" s="1"/>
  <c r="P675" i="2" a="1"/>
  <c r="P675" i="2" s="1"/>
  <c r="P401" i="2" a="1"/>
  <c r="P401" i="2" s="1"/>
  <c r="P176" i="2" a="1"/>
  <c r="P176" i="2" s="1"/>
  <c r="P280" i="2" a="1"/>
  <c r="P280" i="2" s="1"/>
  <c r="P742" i="2" a="1"/>
  <c r="P742" i="2" s="1"/>
  <c r="Q468" i="2" a="1"/>
  <c r="Q468" i="2" s="1"/>
  <c r="Q720" i="2" a="1"/>
  <c r="Q720" i="2" s="1"/>
  <c r="Q251" i="2" a="1"/>
  <c r="Q251" i="2" s="1"/>
  <c r="Q502" i="2" a="1"/>
  <c r="Q502" i="2" s="1"/>
  <c r="Q915" i="2" a="1"/>
  <c r="Q915" i="2" s="1"/>
  <c r="Q133" i="2" a="1"/>
  <c r="Q133" i="2" s="1"/>
  <c r="Q514" i="2" a="1"/>
  <c r="Q514" i="2" s="1"/>
  <c r="Q864" i="2" a="1"/>
  <c r="Q864" i="2" s="1"/>
  <c r="Q662" i="2" a="1"/>
  <c r="Q662" i="2" s="1"/>
  <c r="Q693" i="2" a="1"/>
  <c r="Q693" i="2" s="1"/>
  <c r="Q434" i="2" a="1"/>
  <c r="Q434" i="2" s="1"/>
  <c r="Q172" i="2" a="1"/>
  <c r="Q172" i="2" s="1"/>
  <c r="Q78" i="2" a="1"/>
  <c r="Q78" i="2" s="1"/>
  <c r="Q82" i="2" a="1"/>
  <c r="Q82" i="2" s="1"/>
  <c r="Q544" i="2" a="1"/>
  <c r="Q544" i="2" s="1"/>
  <c r="Q801" i="2" a="1"/>
  <c r="Q801" i="2" s="1"/>
  <c r="Q882" i="2" a="1"/>
  <c r="Q882" i="2" s="1"/>
  <c r="Q62" i="2" a="1"/>
  <c r="Q62" i="2" s="1"/>
  <c r="Q928" i="2" a="1"/>
  <c r="Q928" i="2" s="1"/>
  <c r="Q474" i="2" a="1"/>
  <c r="Q474" i="2" s="1"/>
  <c r="Q613" i="2" a="1"/>
  <c r="Q613" i="2" s="1"/>
  <c r="Q983" i="2" a="1"/>
  <c r="Q983" i="2" s="1"/>
  <c r="Q409" i="2" a="1"/>
  <c r="Q409" i="2" s="1"/>
  <c r="Q353" i="2" a="1"/>
  <c r="Q353" i="2" s="1"/>
  <c r="Q575" i="2" a="1"/>
  <c r="Q575" i="2" s="1"/>
  <c r="Q212" i="2" a="1"/>
  <c r="Q212" i="2" s="1"/>
  <c r="Q598" i="2" a="1"/>
  <c r="Q598" i="2" s="1"/>
  <c r="Q946" i="2" a="1"/>
  <c r="Q946" i="2" s="1"/>
  <c r="Q638" i="2" a="1"/>
  <c r="Q638" i="2" s="1"/>
  <c r="Q685" i="2" a="1"/>
  <c r="Q685" i="2" s="1"/>
  <c r="Q160" i="2" a="1"/>
  <c r="Q160" i="2" s="1"/>
  <c r="Q352" i="2" a="1"/>
  <c r="Q352" i="2" s="1"/>
  <c r="Q808" i="2" a="1"/>
  <c r="Q808" i="2" s="1"/>
  <c r="Q223" i="2" a="1"/>
  <c r="Q223" i="2" s="1"/>
  <c r="Q447" i="2" a="1"/>
  <c r="Q447" i="2" s="1"/>
  <c r="Q854" i="2" a="1"/>
  <c r="Q854" i="2" s="1"/>
  <c r="Q336" i="2" a="1"/>
  <c r="Q336" i="2" s="1"/>
  <c r="Q825" i="2" a="1"/>
  <c r="Q825" i="2" s="1"/>
  <c r="Q929" i="2" a="1"/>
  <c r="Q929" i="2" s="1"/>
  <c r="Q440" i="2" a="1"/>
  <c r="Q440" i="2" s="1"/>
  <c r="Q539" i="2" a="1"/>
  <c r="Q539" i="2" s="1"/>
  <c r="Q17" i="2" a="1"/>
  <c r="Q17" i="2" s="1"/>
  <c r="Q120" i="2" a="1"/>
  <c r="Q120" i="2" s="1"/>
  <c r="Q109" i="2" a="1"/>
  <c r="Q109" i="2" s="1"/>
  <c r="Q114" i="2" a="1"/>
  <c r="Q114" i="2" s="1"/>
  <c r="Q542" i="2" a="1"/>
  <c r="Q542" i="2" s="1"/>
  <c r="Q355" i="2" a="1"/>
  <c r="Q355" i="2" s="1"/>
  <c r="Q617" i="2" a="1"/>
  <c r="Q617" i="2" s="1"/>
  <c r="Q58" i="2" a="1"/>
  <c r="Q58" i="2" s="1"/>
  <c r="Q200" i="2" a="1"/>
  <c r="Q200" i="2" s="1"/>
  <c r="Q405" i="2" a="1"/>
  <c r="Q405" i="2" s="1"/>
  <c r="Q187" i="2" a="1"/>
  <c r="Q187" i="2" s="1"/>
  <c r="Q595" i="2" a="1"/>
  <c r="Q595" i="2" s="1"/>
  <c r="Q975" i="2" a="1"/>
  <c r="Q975" i="2" s="1"/>
  <c r="Q238" i="2" a="1"/>
  <c r="Q238" i="2" s="1"/>
  <c r="Q399" i="2" a="1"/>
  <c r="Q399" i="2" s="1"/>
  <c r="Q458" i="2" a="1"/>
  <c r="Q458" i="2" s="1"/>
  <c r="Q521" i="2" a="1"/>
  <c r="Q521" i="2" s="1"/>
  <c r="Q298" i="2" a="1"/>
  <c r="Q298" i="2" s="1"/>
  <c r="Q339" i="2" a="1"/>
  <c r="Q339" i="2" s="1"/>
  <c r="Q222" i="2" a="1"/>
  <c r="Q222" i="2" s="1"/>
  <c r="Q488" i="2" a="1"/>
  <c r="Q488" i="2" s="1"/>
  <c r="Q650" i="2" a="1"/>
  <c r="Q650" i="2" s="1"/>
  <c r="Q465" i="2" a="1"/>
  <c r="Q465" i="2" s="1"/>
  <c r="Q563" i="2" a="1"/>
  <c r="Q563" i="2" s="1"/>
  <c r="Q981" i="2" a="1"/>
  <c r="Q981" i="2" s="1"/>
  <c r="Q410" i="2" a="1"/>
  <c r="Q410" i="2" s="1"/>
  <c r="Q31" i="2" a="1"/>
  <c r="Q31" i="2" s="1"/>
  <c r="Q694" i="2" a="1"/>
  <c r="Q694" i="2" s="1"/>
  <c r="Q415" i="2" a="1"/>
  <c r="Q415" i="2" s="1"/>
  <c r="Q540" i="2" a="1"/>
  <c r="Q540" i="2" s="1"/>
  <c r="Q467" i="2" a="1"/>
  <c r="Q467" i="2" s="1"/>
  <c r="Q344" i="2" a="1"/>
  <c r="Q344" i="2" s="1"/>
  <c r="Q573" i="2" a="1"/>
  <c r="Q573" i="2" s="1"/>
  <c r="Q38" i="2" a="1"/>
  <c r="Q38" i="2" s="1"/>
  <c r="Q90" i="2" a="1"/>
  <c r="Q90" i="2" s="1"/>
  <c r="Q974" i="2" a="1"/>
  <c r="Q974" i="2" s="1"/>
  <c r="Q177" i="2" a="1"/>
  <c r="Q177" i="2" s="1"/>
  <c r="Q902" i="2" a="1"/>
  <c r="Q902" i="2" s="1"/>
  <c r="Q984" i="2" a="1"/>
  <c r="Q984" i="2" s="1"/>
  <c r="Q175" i="2" a="1"/>
  <c r="Q175" i="2" s="1"/>
  <c r="Q32" i="2" a="1"/>
  <c r="Q32" i="2" s="1"/>
  <c r="Q775" i="2" a="1"/>
  <c r="Q775" i="2" s="1"/>
  <c r="Q628" i="2" a="1"/>
  <c r="Q628" i="2" s="1"/>
  <c r="Q157" i="2" a="1"/>
  <c r="Q157" i="2" s="1"/>
  <c r="Q77" i="2" a="1"/>
  <c r="Q77" i="2" s="1"/>
  <c r="Q559" i="2" a="1"/>
  <c r="Q559" i="2" s="1"/>
  <c r="Q618" i="2" a="1"/>
  <c r="Q618" i="2" s="1"/>
  <c r="Q155" i="2" a="1"/>
  <c r="Q155" i="2" s="1"/>
  <c r="Q256" i="2" a="1"/>
  <c r="Q256" i="2" s="1"/>
  <c r="Q26" i="2" a="1"/>
  <c r="Q26" i="2" s="1"/>
  <c r="Q690" i="2" a="1"/>
  <c r="Q690" i="2" s="1"/>
  <c r="Q779" i="2" a="1"/>
  <c r="Q779" i="2" s="1"/>
  <c r="Q966" i="2" a="1"/>
  <c r="Q966" i="2" s="1"/>
  <c r="Q817" i="2" a="1"/>
  <c r="Q817" i="2" s="1"/>
  <c r="Q833" i="2" a="1"/>
  <c r="Q833" i="2" s="1"/>
  <c r="Q818" i="2" a="1"/>
  <c r="Q818" i="2" s="1"/>
  <c r="Q791" i="2" a="1"/>
  <c r="Q791" i="2" s="1"/>
  <c r="Q777" i="2" a="1"/>
  <c r="Q777" i="2" s="1"/>
  <c r="Q271" i="2" a="1"/>
  <c r="Q271" i="2" s="1"/>
  <c r="Q522" i="2" a="1"/>
  <c r="Q522" i="2" s="1"/>
  <c r="Q561" i="2" a="1"/>
  <c r="Q561" i="2" s="1"/>
  <c r="Q323" i="2" a="1"/>
  <c r="Q323" i="2" s="1"/>
  <c r="Q326" i="2" a="1"/>
  <c r="Q326" i="2" s="1"/>
  <c r="Q104" i="2" a="1"/>
  <c r="Q104" i="2" s="1"/>
  <c r="Q423" i="2" a="1"/>
  <c r="Q423" i="2" s="1"/>
  <c r="Q391" i="2" a="1"/>
  <c r="Q391" i="2" s="1"/>
  <c r="Q900" i="2" a="1"/>
  <c r="Q900" i="2" s="1"/>
  <c r="Q604" i="2" a="1"/>
  <c r="Q604" i="2" s="1"/>
  <c r="Q699" i="2" a="1"/>
  <c r="Q699" i="2" s="1"/>
  <c r="Q402" i="2" a="1"/>
  <c r="Q402" i="2" s="1"/>
  <c r="Q239" i="2" a="1"/>
  <c r="Q239" i="2" s="1"/>
  <c r="Q327" i="2" a="1"/>
  <c r="Q327" i="2" s="1"/>
  <c r="Q111" i="2" a="1"/>
  <c r="Q111" i="2" s="1"/>
  <c r="Q663" i="2" a="1"/>
  <c r="Q663" i="2" s="1"/>
  <c r="Q50" i="2" a="1"/>
  <c r="Q50" i="2" s="1"/>
  <c r="Q335" i="2" a="1"/>
  <c r="Q335" i="2" s="1"/>
  <c r="Q377" i="2" a="1"/>
  <c r="Q377" i="2" s="1"/>
  <c r="Q19" i="2" a="1"/>
  <c r="Q19" i="2" s="1"/>
  <c r="Q237" i="2" a="1"/>
  <c r="Q237" i="2" s="1"/>
  <c r="Q213" i="2" a="1"/>
  <c r="Q213" i="2" s="1"/>
  <c r="Q443" i="2" a="1"/>
  <c r="Q443" i="2" s="1"/>
  <c r="Q624" i="2" a="1"/>
  <c r="Q624" i="2" s="1"/>
  <c r="Q979" i="2" a="1"/>
  <c r="Q979" i="2" s="1"/>
  <c r="Q162" i="2" a="1"/>
  <c r="Q162" i="2" s="1"/>
  <c r="Q523" i="2" a="1"/>
  <c r="Q523" i="2" s="1"/>
  <c r="Q787" i="2" a="1"/>
  <c r="Q787" i="2" s="1"/>
  <c r="Q506" i="2" a="1"/>
  <c r="Q506" i="2" s="1"/>
  <c r="Q985" i="2" a="1"/>
  <c r="Q985" i="2" s="1"/>
  <c r="Q701" i="2" a="1"/>
  <c r="Q701" i="2" s="1"/>
  <c r="Q441" i="2" a="1"/>
  <c r="Q441" i="2" s="1"/>
  <c r="Q569" i="2" a="1"/>
  <c r="Q569" i="2" s="1"/>
  <c r="Q768" i="2" a="1"/>
  <c r="Q768" i="2" s="1"/>
  <c r="Q267" i="2" a="1"/>
  <c r="Q267" i="2" s="1"/>
  <c r="Q250" i="2" a="1"/>
  <c r="Q250" i="2" s="1"/>
  <c r="Q586" i="2" a="1"/>
  <c r="Q586" i="2" s="1"/>
  <c r="Q321" i="2" a="1"/>
  <c r="Q321" i="2" s="1"/>
  <c r="Q27" i="2" a="1"/>
  <c r="Q27" i="2" s="1"/>
  <c r="Q42" i="2" a="1"/>
  <c r="Q42" i="2" s="1"/>
  <c r="Q783" i="2" a="1"/>
  <c r="Q783" i="2" s="1"/>
  <c r="Q314" i="2" a="1"/>
  <c r="Q314" i="2" s="1"/>
  <c r="Q668" i="2" a="1"/>
  <c r="Q668" i="2" s="1"/>
  <c r="Q607" i="2" a="1"/>
  <c r="Q607" i="2" s="1"/>
  <c r="Q84" i="2" a="1"/>
  <c r="Q84" i="2" s="1"/>
  <c r="Q233" i="2" a="1"/>
  <c r="Q233" i="2" s="1"/>
  <c r="Q148" i="2" a="1"/>
  <c r="Q148" i="2" s="1"/>
  <c r="Q806" i="2" a="1"/>
  <c r="Q806" i="2" s="1"/>
  <c r="Q620" i="2" a="1"/>
  <c r="Q620" i="2" s="1"/>
  <c r="Q216" i="2" a="1"/>
  <c r="Q216" i="2" s="1"/>
  <c r="Q375" i="2" a="1"/>
  <c r="Q375" i="2" s="1"/>
  <c r="Q664" i="2" a="1"/>
  <c r="Q664" i="2" s="1"/>
  <c r="Q665" i="2" a="1"/>
  <c r="Q665" i="2" s="1"/>
  <c r="Q737" i="2" a="1"/>
  <c r="Q737" i="2" s="1"/>
  <c r="Q184" i="2" a="1"/>
  <c r="Q184" i="2" s="1"/>
  <c r="Q749" i="2" a="1"/>
  <c r="Q749" i="2" s="1"/>
  <c r="Q198" i="2" a="1"/>
  <c r="Q198" i="2" s="1"/>
  <c r="Q428" i="2" a="1"/>
  <c r="Q428" i="2" s="1"/>
  <c r="Q853" i="2" a="1"/>
  <c r="Q853" i="2" s="1"/>
  <c r="Q63" i="2" a="1"/>
  <c r="Q63" i="2" s="1"/>
  <c r="Q574" i="2" a="1"/>
  <c r="Q574" i="2" s="1"/>
  <c r="Q236" i="2" a="1"/>
  <c r="Q236" i="2" s="1"/>
  <c r="Q677" i="2" a="1"/>
  <c r="Q677" i="2" s="1"/>
  <c r="Q59" i="2" a="1"/>
  <c r="Q59" i="2" s="1"/>
  <c r="Q246" i="2" a="1"/>
  <c r="Q246" i="2" s="1"/>
  <c r="Q308" i="2" a="1"/>
  <c r="Q308" i="2" s="1"/>
  <c r="Q262" i="2" a="1"/>
  <c r="Q262" i="2" s="1"/>
  <c r="Q837" i="2" a="1"/>
  <c r="Q837" i="2" s="1"/>
  <c r="Q553" i="2" a="1"/>
  <c r="Q553" i="2" s="1"/>
  <c r="Q716" i="2" a="1"/>
  <c r="Q716" i="2" s="1"/>
  <c r="Q99" i="2" a="1"/>
  <c r="Q99" i="2" s="1"/>
  <c r="Q826" i="2" a="1"/>
  <c r="Q826" i="2" s="1"/>
  <c r="Q886" i="2" a="1"/>
  <c r="Q886" i="2" s="1"/>
  <c r="Q220" i="2" a="1"/>
  <c r="Q220" i="2" s="1"/>
  <c r="Q354" i="2" a="1"/>
  <c r="Q354" i="2" s="1"/>
  <c r="Q639" i="2" a="1"/>
  <c r="Q639" i="2" s="1"/>
  <c r="Q691" i="2" a="1"/>
  <c r="Q691" i="2" s="1"/>
  <c r="Q387" i="2" a="1"/>
  <c r="Q387" i="2" s="1"/>
  <c r="Q875" i="2" a="1"/>
  <c r="Q875" i="2" s="1"/>
  <c r="Q363" i="2" a="1"/>
  <c r="Q363" i="2" s="1"/>
  <c r="Q261" i="2" a="1"/>
  <c r="Q261" i="2" s="1"/>
  <c r="Q550" i="2" a="1"/>
  <c r="Q550" i="2" s="1"/>
  <c r="Q535" i="2" a="1"/>
  <c r="Q535" i="2" s="1"/>
  <c r="Q976" i="2" a="1"/>
  <c r="Q976" i="2" s="1"/>
  <c r="Q712" i="2" a="1"/>
  <c r="Q712" i="2" s="1"/>
  <c r="Q453" i="2" a="1"/>
  <c r="Q453" i="2" s="1"/>
  <c r="Q393" i="2" a="1"/>
  <c r="Q393" i="2" s="1"/>
  <c r="Q180" i="2" a="1"/>
  <c r="Q180" i="2" s="1"/>
  <c r="Q912" i="2" a="1"/>
  <c r="Q912" i="2" s="1"/>
  <c r="Q711" i="2" a="1"/>
  <c r="Q711" i="2" s="1"/>
  <c r="Q232" i="2" a="1"/>
  <c r="Q232" i="2" s="1"/>
  <c r="Q294" i="2" a="1"/>
  <c r="Q294" i="2" s="1"/>
  <c r="Q427" i="2" a="1"/>
  <c r="Q427" i="2" s="1"/>
  <c r="Q424" i="2" a="1"/>
  <c r="Q424" i="2" s="1"/>
  <c r="Q439" i="2" a="1"/>
  <c r="Q439" i="2" s="1"/>
  <c r="Q295" i="2" a="1"/>
  <c r="Q295" i="2" s="1"/>
  <c r="Q117" i="2" a="1"/>
  <c r="Q117" i="2" s="1"/>
  <c r="Q555" i="2" a="1"/>
  <c r="Q555" i="2" s="1"/>
  <c r="Q255" i="2" a="1"/>
  <c r="Q255" i="2" s="1"/>
  <c r="Q320" i="2" a="1"/>
  <c r="Q320" i="2" s="1"/>
  <c r="Q92" i="2" a="1"/>
  <c r="Q92" i="2" s="1"/>
  <c r="Q570" i="2" a="1"/>
  <c r="Q570" i="2" s="1"/>
  <c r="Q847" i="2" a="1"/>
  <c r="Q847" i="2" s="1"/>
  <c r="Q636" i="2" a="1"/>
  <c r="Q636" i="2" s="1"/>
  <c r="Q313" i="2" a="1"/>
  <c r="Q313" i="2" s="1"/>
  <c r="Q644" i="2" a="1"/>
  <c r="Q644" i="2" s="1"/>
  <c r="Q240" i="2" a="1"/>
  <c r="Q240" i="2" s="1"/>
  <c r="Q286" i="2" a="1"/>
  <c r="Q286" i="2" s="1"/>
  <c r="Q310" i="2" a="1"/>
  <c r="Q310" i="2" s="1"/>
  <c r="Q877" i="2" a="1"/>
  <c r="Q877" i="2" s="1"/>
  <c r="Q704" i="2" a="1"/>
  <c r="Q704" i="2" s="1"/>
  <c r="Q18" i="2" a="1"/>
  <c r="Q18" i="2" s="1"/>
  <c r="Q673" i="2" a="1"/>
  <c r="Q673" i="2" s="1"/>
  <c r="Q376" i="2" a="1"/>
  <c r="Q376" i="2" s="1"/>
  <c r="Q940" i="2" a="1"/>
  <c r="Q940" i="2" s="1"/>
  <c r="Q319" i="2" a="1"/>
  <c r="Q319" i="2" s="1"/>
  <c r="Q340" i="2" a="1"/>
  <c r="Q340" i="2" s="1"/>
  <c r="Q802" i="2" a="1"/>
  <c r="Q802" i="2" s="1"/>
  <c r="Q224" i="2" a="1"/>
  <c r="Q224" i="2" s="1"/>
  <c r="Q931" i="2" a="1"/>
  <c r="Q931" i="2" s="1"/>
  <c r="Q486" i="2" a="1"/>
  <c r="Q486" i="2" s="1"/>
  <c r="Q85" i="2" a="1"/>
  <c r="Q85" i="2" s="1"/>
  <c r="Q653" i="2" a="1"/>
  <c r="Q653" i="2" s="1"/>
  <c r="Q909" i="2" a="1"/>
  <c r="Q909" i="2" s="1"/>
  <c r="Q281" i="2" a="1"/>
  <c r="Q281" i="2" s="1"/>
  <c r="Q872" i="2" a="1"/>
  <c r="Q872" i="2" s="1"/>
  <c r="Q300" i="2" a="1"/>
  <c r="Q300" i="2" s="1"/>
  <c r="Q166" i="2" a="1"/>
  <c r="Q166" i="2" s="1"/>
  <c r="Q703" i="2" a="1"/>
  <c r="Q703" i="2" s="1"/>
  <c r="Q898" i="2" a="1"/>
  <c r="Q898" i="2" s="1"/>
  <c r="Q107" i="2" a="1"/>
  <c r="Q107" i="2" s="1"/>
  <c r="Q619" i="2" a="1"/>
  <c r="Q619" i="2" s="1"/>
  <c r="Q454" i="2" a="1"/>
  <c r="Q454" i="2" s="1"/>
  <c r="Q626" i="2" a="1"/>
  <c r="Q626" i="2" s="1"/>
  <c r="Q541" i="2" a="1"/>
  <c r="Q541" i="2" s="1"/>
  <c r="Q529" i="2" a="1"/>
  <c r="Q529" i="2" s="1"/>
  <c r="Q44" i="2" a="1"/>
  <c r="Q44" i="2" s="1"/>
  <c r="Q207" i="2" a="1"/>
  <c r="Q207" i="2" s="1"/>
  <c r="Q450" i="2" a="1"/>
  <c r="Q450" i="2" s="1"/>
  <c r="Q333" i="2" a="1"/>
  <c r="Q333" i="2" s="1"/>
  <c r="Q606" i="2" a="1"/>
  <c r="Q606" i="2" s="1"/>
  <c r="Q678" i="2" a="1"/>
  <c r="Q678" i="2" s="1"/>
  <c r="Q954" i="2" a="1"/>
  <c r="Q954" i="2" s="1"/>
  <c r="Q893" i="2" a="1"/>
  <c r="Q893" i="2" s="1"/>
  <c r="Q546" i="2" a="1"/>
  <c r="Q546" i="2" s="1"/>
  <c r="Q492" i="2" a="1"/>
  <c r="Q492" i="2" s="1"/>
  <c r="Q178" i="2" a="1"/>
  <c r="Q178" i="2" s="1"/>
  <c r="Q879" i="2" a="1"/>
  <c r="Q879" i="2" s="1"/>
  <c r="Q625" i="2" a="1"/>
  <c r="Q625" i="2" s="1"/>
  <c r="Q840" i="2" a="1"/>
  <c r="Q840" i="2" s="1"/>
  <c r="Q596" i="2" a="1"/>
  <c r="Q596" i="2" s="1"/>
  <c r="Q874" i="2" a="1"/>
  <c r="Q874" i="2" s="1"/>
  <c r="Q307" i="2" a="1"/>
  <c r="Q307" i="2" s="1"/>
  <c r="Q830" i="2" a="1"/>
  <c r="Q830" i="2" s="1"/>
  <c r="Q422" i="2" a="1"/>
  <c r="Q422" i="2" s="1"/>
  <c r="Q83" i="2" a="1"/>
  <c r="Q83" i="2" s="1"/>
  <c r="Q112" i="2" a="1"/>
  <c r="Q112" i="2" s="1"/>
  <c r="Q803" i="2" a="1"/>
  <c r="Q803" i="2" s="1"/>
  <c r="Q274" i="2" a="1"/>
  <c r="Q274" i="2" s="1"/>
  <c r="Q903" i="2" a="1"/>
  <c r="Q903" i="2" s="1"/>
  <c r="Q102" i="2" a="1"/>
  <c r="Q102" i="2" s="1"/>
  <c r="Q907" i="2" a="1"/>
  <c r="Q907" i="2" s="1"/>
  <c r="Q705" i="2" a="1"/>
  <c r="Q705" i="2" s="1"/>
  <c r="Q602" i="2" a="1"/>
  <c r="Q602" i="2" s="1"/>
  <c r="Q193" i="2" a="1"/>
  <c r="Q193" i="2" s="1"/>
  <c r="Q955" i="2" a="1"/>
  <c r="Q955" i="2" s="1"/>
  <c r="Q655" i="2" a="1"/>
  <c r="Q655" i="2" s="1"/>
  <c r="Q759" i="2" a="1"/>
  <c r="Q759" i="2" s="1"/>
  <c r="Q641" i="2" a="1"/>
  <c r="Q641" i="2" s="1"/>
  <c r="Q982" i="2" a="1"/>
  <c r="Q982" i="2" s="1"/>
  <c r="Q489" i="2" a="1"/>
  <c r="Q489" i="2" s="1"/>
  <c r="Q12" i="2" a="1"/>
  <c r="Q12" i="2" s="1"/>
  <c r="Q435" i="2" a="1"/>
  <c r="Q435" i="2" s="1"/>
  <c r="Q762" i="2" a="1"/>
  <c r="Q762" i="2" s="1"/>
  <c r="Q421" i="2" a="1"/>
  <c r="Q421" i="2" s="1"/>
  <c r="Q769" i="2" a="1"/>
  <c r="Q769" i="2" s="1"/>
  <c r="Q206" i="2" a="1"/>
  <c r="Q206" i="2" s="1"/>
  <c r="Q958" i="2" a="1"/>
  <c r="Q958" i="2" s="1"/>
  <c r="Q316" i="2" a="1"/>
  <c r="Q316" i="2" s="1"/>
  <c r="Q793" i="2" a="1"/>
  <c r="Q793" i="2" s="1"/>
  <c r="Q657" i="2" a="1"/>
  <c r="Q657" i="2" s="1"/>
  <c r="Q760" i="2" a="1"/>
  <c r="Q760" i="2" s="1"/>
  <c r="Q532" i="2" a="1"/>
  <c r="Q532" i="2" s="1"/>
  <c r="Q774" i="2" a="1"/>
  <c r="Q774" i="2" s="1"/>
  <c r="Q834" i="2" a="1"/>
  <c r="Q834" i="2" s="1"/>
  <c r="Q681" i="2" a="1"/>
  <c r="Q681" i="2" s="1"/>
  <c r="Q13" i="2" a="1"/>
  <c r="Q13" i="2" s="1"/>
  <c r="Q383" i="2" a="1"/>
  <c r="Q383" i="2" s="1"/>
  <c r="Q381" i="2" a="1"/>
  <c r="Q381" i="2" s="1"/>
  <c r="Q980" i="2" a="1"/>
  <c r="Q980" i="2" s="1"/>
  <c r="Q72" i="2" a="1"/>
  <c r="Q72" i="2" s="1"/>
  <c r="Q518" i="2" a="1"/>
  <c r="Q518" i="2" s="1"/>
  <c r="Q225" i="2" a="1"/>
  <c r="Q225" i="2" s="1"/>
  <c r="Q218" i="2" a="1"/>
  <c r="Q218" i="2" s="1"/>
  <c r="Q69" i="2" a="1"/>
  <c r="Q69" i="2" s="1"/>
  <c r="Q784" i="2" a="1"/>
  <c r="Q784" i="2" s="1"/>
  <c r="Q43" i="2" a="1"/>
  <c r="Q43" i="2" s="1"/>
  <c r="Q947" i="2" a="1"/>
  <c r="Q947" i="2" s="1"/>
  <c r="Q158" i="2" a="1"/>
  <c r="Q158" i="2" s="1"/>
  <c r="Q55" i="2" a="1"/>
  <c r="Q55" i="2" s="1"/>
  <c r="Q740" i="2" a="1"/>
  <c r="Q740" i="2" s="1"/>
  <c r="Q725" i="2" a="1"/>
  <c r="Q725" i="2" s="1"/>
  <c r="Q449" i="2" a="1"/>
  <c r="Q449" i="2" s="1"/>
  <c r="Q299" i="2" a="1"/>
  <c r="Q299" i="2" s="1"/>
  <c r="Q130" i="2" a="1"/>
  <c r="Q130" i="2" s="1"/>
  <c r="Q556" i="2" a="1"/>
  <c r="Q556" i="2" s="1"/>
  <c r="Q659" i="2" a="1"/>
  <c r="Q659" i="2" s="1"/>
  <c r="Q337" i="2" a="1"/>
  <c r="Q337" i="2" s="1"/>
  <c r="Q33" i="2" a="1"/>
  <c r="Q33" i="2" s="1"/>
  <c r="Q446" i="2" a="1"/>
  <c r="Q446" i="2" s="1"/>
  <c r="Q338" i="2" a="1"/>
  <c r="Q338" i="2" s="1"/>
  <c r="Q398" i="2" a="1"/>
  <c r="Q398" i="2" s="1"/>
  <c r="Q670" i="2" a="1"/>
  <c r="Q670" i="2" s="1"/>
  <c r="Q970" i="2" a="1"/>
  <c r="Q970" i="2" s="1"/>
  <c r="Q131" i="2" a="1"/>
  <c r="Q131" i="2" s="1"/>
  <c r="Q679" i="2" a="1"/>
  <c r="Q679" i="2" s="1"/>
  <c r="Q566" i="2" a="1"/>
  <c r="Q566" i="2" s="1"/>
  <c r="Q908" i="2" a="1"/>
  <c r="Q908" i="2" s="1"/>
  <c r="Q868" i="2" a="1"/>
  <c r="Q868" i="2" s="1"/>
  <c r="Q880" i="2" a="1"/>
  <c r="Q880" i="2" s="1"/>
  <c r="Q197" i="2" a="1"/>
  <c r="Q197" i="2" s="1"/>
  <c r="Q151" i="2" a="1"/>
  <c r="Q151" i="2" s="1"/>
  <c r="Q498" i="2" a="1"/>
  <c r="Q498" i="2" s="1"/>
  <c r="Q786" i="2" a="1"/>
  <c r="Q786" i="2" s="1"/>
  <c r="Q277" i="2" a="1"/>
  <c r="Q277" i="2" s="1"/>
  <c r="Q482" i="2" a="1"/>
  <c r="Q482" i="2" s="1"/>
  <c r="Q536" i="2" a="1"/>
  <c r="Q536" i="2" s="1"/>
  <c r="Q588" i="2" a="1"/>
  <c r="Q588" i="2" s="1"/>
  <c r="Q292" i="2" a="1"/>
  <c r="Q292" i="2" s="1"/>
  <c r="Q728" i="2" a="1"/>
  <c r="Q728" i="2" s="1"/>
  <c r="Q952" i="2" a="1"/>
  <c r="Q952" i="2" s="1"/>
  <c r="Q971" i="2" a="1"/>
  <c r="Q971" i="2" s="1"/>
  <c r="Q100" i="2" a="1"/>
  <c r="Q100" i="2" s="1"/>
  <c r="Q758" i="2" a="1"/>
  <c r="Q758" i="2" s="1"/>
  <c r="Q524" i="2" a="1"/>
  <c r="Q524" i="2" s="1"/>
  <c r="Q243" i="2" a="1"/>
  <c r="Q243" i="2" s="1"/>
  <c r="Q858" i="2" a="1"/>
  <c r="Q858" i="2" s="1"/>
  <c r="Q724" i="2" a="1"/>
  <c r="Q724" i="2" s="1"/>
  <c r="Q719" i="2" a="1"/>
  <c r="Q719" i="2" s="1"/>
  <c r="Q590" i="2" a="1"/>
  <c r="Q590" i="2" s="1"/>
  <c r="Q268" i="2" a="1"/>
  <c r="Q268" i="2" s="1"/>
  <c r="Q226" i="2" a="1"/>
  <c r="Q226" i="2" s="1"/>
  <c r="Q608" i="2" a="1"/>
  <c r="Q608" i="2" s="1"/>
  <c r="Q494" i="2" a="1"/>
  <c r="Q494" i="2" s="1"/>
  <c r="Q288" i="2" a="1"/>
  <c r="Q288" i="2" s="1"/>
  <c r="Q548" i="2" a="1"/>
  <c r="Q548" i="2" s="1"/>
  <c r="Q916" i="2" a="1"/>
  <c r="Q916" i="2" s="1"/>
  <c r="Q21" i="2" a="1"/>
  <c r="Q21" i="2" s="1"/>
  <c r="Q275" i="2" a="1"/>
  <c r="Q275" i="2" s="1"/>
  <c r="Q89" i="2" a="1"/>
  <c r="Q89" i="2" s="1"/>
  <c r="Q418" i="2" a="1"/>
  <c r="Q418" i="2" s="1"/>
  <c r="Q127" i="2" a="1"/>
  <c r="Q127" i="2" s="1"/>
  <c r="Q247" i="2" a="1"/>
  <c r="Q247" i="2" s="1"/>
  <c r="Q510" i="2" a="1"/>
  <c r="Q510" i="2" s="1"/>
  <c r="Q816" i="2" a="1"/>
  <c r="Q816" i="2" s="1"/>
  <c r="Q978" i="2" a="1"/>
  <c r="Q978" i="2" s="1"/>
  <c r="Q365" i="2" a="1"/>
  <c r="Q365" i="2" s="1"/>
  <c r="Q159" i="2" a="1"/>
  <c r="Q159" i="2" s="1"/>
  <c r="Q217" i="2" a="1"/>
  <c r="Q217" i="2" s="1"/>
  <c r="Q463" i="2" a="1"/>
  <c r="Q463" i="2" s="1"/>
  <c r="Q888" i="2" a="1"/>
  <c r="Q888" i="2" s="1"/>
  <c r="Q388" i="2" a="1"/>
  <c r="Q388" i="2" s="1"/>
  <c r="Q827" i="2" a="1"/>
  <c r="Q827" i="2" s="1"/>
  <c r="Q113" i="2" a="1"/>
  <c r="Q113" i="2" s="1"/>
  <c r="Q138" i="2" a="1"/>
  <c r="Q138" i="2" s="1"/>
  <c r="Q792" i="2" a="1"/>
  <c r="Q792" i="2" s="1"/>
  <c r="Q430" i="2" a="1"/>
  <c r="Q430" i="2" s="1"/>
  <c r="Q684" i="2" a="1"/>
  <c r="Q684" i="2" s="1"/>
  <c r="Q751" i="2" a="1"/>
  <c r="Q751" i="2" s="1"/>
  <c r="Q181" i="2" a="1"/>
  <c r="Q181" i="2" s="1"/>
  <c r="Q329" i="2" a="1"/>
  <c r="Q329" i="2" s="1"/>
  <c r="Q543" i="2" a="1"/>
  <c r="Q543" i="2" s="1"/>
  <c r="Q143" i="2" a="1"/>
  <c r="Q143" i="2" s="1"/>
  <c r="Q950" i="2" a="1"/>
  <c r="Q950" i="2" s="1"/>
  <c r="Q578" i="2" a="1"/>
  <c r="Q578" i="2" s="1"/>
  <c r="Q10" i="2" a="1"/>
  <c r="Q10" i="2" s="1"/>
  <c r="Q179" i="2" a="1"/>
  <c r="Q179" i="2" s="1"/>
  <c r="Q560" i="2" a="1"/>
  <c r="Q560" i="2" s="1"/>
  <c r="Q244" i="2" a="1"/>
  <c r="Q244" i="2" s="1"/>
  <c r="Q29" i="2" a="1"/>
  <c r="Q29" i="2" s="1"/>
  <c r="Q686" i="2" a="1"/>
  <c r="Q686" i="2" s="1"/>
  <c r="Q661" i="2" a="1"/>
  <c r="Q661" i="2" s="1"/>
  <c r="Q738" i="2" a="1"/>
  <c r="Q738" i="2" s="1"/>
  <c r="Q671" i="2" a="1"/>
  <c r="Q671" i="2" s="1"/>
  <c r="Q324" i="2" a="1"/>
  <c r="Q324" i="2" s="1"/>
  <c r="Q813" i="2" a="1"/>
  <c r="Q813" i="2" s="1"/>
  <c r="Q61" i="2" a="1"/>
  <c r="Q61" i="2" s="1"/>
  <c r="Q537" i="2" a="1"/>
  <c r="Q537" i="2" s="1"/>
  <c r="Q520" i="2" a="1"/>
  <c r="Q520" i="2" s="1"/>
  <c r="Q455" i="2" a="1"/>
  <c r="Q455" i="2" s="1"/>
  <c r="Q788" i="2" a="1"/>
  <c r="Q788" i="2" s="1"/>
  <c r="Q821" i="2" a="1"/>
  <c r="Q821" i="2" s="1"/>
  <c r="Q773" i="2" a="1"/>
  <c r="Q773" i="2" s="1"/>
  <c r="Q582" i="2" a="1"/>
  <c r="Q582" i="2" s="1"/>
  <c r="Q45" i="2" a="1"/>
  <c r="Q45" i="2" s="1"/>
  <c r="Q756" i="2" a="1"/>
  <c r="Q756" i="2" s="1"/>
  <c r="Q97" i="2" a="1"/>
  <c r="Q97" i="2" s="1"/>
  <c r="Q332" i="2" a="1"/>
  <c r="Q332" i="2" s="1"/>
  <c r="Q471" i="2" a="1"/>
  <c r="Q471" i="2" s="1"/>
  <c r="Q110" i="2" a="1"/>
  <c r="Q110" i="2" s="1"/>
  <c r="Q252" i="2" a="1"/>
  <c r="Q252" i="2" s="1"/>
  <c r="Q472" i="2" a="1"/>
  <c r="Q472" i="2" s="1"/>
  <c r="Q432" i="2" a="1"/>
  <c r="Q432" i="2" s="1"/>
  <c r="Q396" i="2" a="1"/>
  <c r="Q396" i="2" s="1"/>
  <c r="Q431" i="2" a="1"/>
  <c r="Q431" i="2" s="1"/>
  <c r="Q404" i="2" a="1"/>
  <c r="Q404" i="2" s="1"/>
  <c r="Q153" i="2" a="1"/>
  <c r="Q153" i="2" s="1"/>
  <c r="Q972" i="2" a="1"/>
  <c r="Q972" i="2" s="1"/>
  <c r="Q507" i="2" a="1"/>
  <c r="Q507" i="2" s="1"/>
  <c r="Q726" i="2" a="1"/>
  <c r="Q726" i="2" s="1"/>
  <c r="Q780" i="2" a="1"/>
  <c r="Q780" i="2" s="1"/>
  <c r="Q807" i="2" a="1"/>
  <c r="Q807" i="2" s="1"/>
  <c r="Q291" i="2" a="1"/>
  <c r="Q291" i="2" s="1"/>
  <c r="Q637" i="2" a="1"/>
  <c r="Q637" i="2" s="1"/>
  <c r="Q503" i="2" a="1"/>
  <c r="Q503" i="2" s="1"/>
  <c r="Q386" i="2" a="1"/>
  <c r="Q386" i="2" s="1"/>
  <c r="Q357" i="2" a="1"/>
  <c r="Q357" i="2" s="1"/>
  <c r="Q11" i="2" a="1"/>
  <c r="Q11" i="2" s="1"/>
  <c r="Q645" i="2" a="1"/>
  <c r="Q645" i="2" s="1"/>
  <c r="Q696" i="2" a="1"/>
  <c r="Q696" i="2" s="1"/>
  <c r="Q789" i="2" a="1"/>
  <c r="Q789" i="2" s="1"/>
  <c r="Q687" i="2" a="1"/>
  <c r="Q687" i="2" s="1"/>
  <c r="Q932" i="2" a="1"/>
  <c r="Q932" i="2" s="1"/>
  <c r="Q831" i="2" a="1"/>
  <c r="Q831" i="2" s="1"/>
  <c r="Q73" i="2" a="1"/>
  <c r="Q73" i="2" s="1"/>
  <c r="Q499" i="2" a="1"/>
  <c r="Q499" i="2" s="1"/>
  <c r="Q39" i="2" a="1"/>
  <c r="Q39" i="2" s="1"/>
  <c r="Q204" i="2" a="1"/>
  <c r="Q204" i="2" s="1"/>
  <c r="Q433" i="2" a="1"/>
  <c r="Q433" i="2" s="1"/>
  <c r="Q961" i="2" a="1"/>
  <c r="Q961" i="2" s="1"/>
  <c r="Q128" i="2" a="1"/>
  <c r="Q128" i="2" s="1"/>
  <c r="Q318" i="2" a="1"/>
  <c r="Q318" i="2" s="1"/>
  <c r="Q378" i="2" a="1"/>
  <c r="Q378" i="2" s="1"/>
  <c r="Q437" i="2" a="1"/>
  <c r="Q437" i="2" s="1"/>
  <c r="Q96" i="2" a="1"/>
  <c r="Q96" i="2" s="1"/>
  <c r="Q150" i="2" a="1"/>
  <c r="Q150" i="2" s="1"/>
  <c r="Q416" i="2" a="1"/>
  <c r="Q416" i="2" s="1"/>
  <c r="Q199" i="2" a="1"/>
  <c r="Q199" i="2" s="1"/>
  <c r="Q622" i="2" a="1"/>
  <c r="Q622" i="2" s="1"/>
  <c r="Q656" i="2" a="1"/>
  <c r="Q656" i="2" s="1"/>
  <c r="Q195" i="2" a="1"/>
  <c r="Q195" i="2" s="1"/>
  <c r="Q406" i="2" a="1"/>
  <c r="Q406" i="2" s="1"/>
  <c r="Q317" i="2" a="1"/>
  <c r="Q317" i="2" s="1"/>
  <c r="Q911" i="2" a="1"/>
  <c r="Q911" i="2" s="1"/>
  <c r="Q844" i="2" a="1"/>
  <c r="Q844" i="2" s="1"/>
  <c r="Q917" i="2" a="1"/>
  <c r="Q917" i="2" s="1"/>
  <c r="Q977" i="2" a="1"/>
  <c r="Q977" i="2" s="1"/>
  <c r="Q577" i="2" a="1"/>
  <c r="Q577" i="2" s="1"/>
  <c r="Q680" i="2" a="1"/>
  <c r="Q680" i="2" s="1"/>
  <c r="Q892" i="2" a="1"/>
  <c r="Q892" i="2" s="1"/>
  <c r="Q811" i="2" a="1"/>
  <c r="Q811" i="2" s="1"/>
  <c r="Q30" i="2" a="1"/>
  <c r="Q30" i="2" s="1"/>
  <c r="Q270" i="2" a="1"/>
  <c r="Q270" i="2" s="1"/>
  <c r="Q264" i="2" a="1"/>
  <c r="Q264" i="2" s="1"/>
  <c r="Q305" i="2" a="1"/>
  <c r="Q305" i="2" s="1"/>
  <c r="Q841" i="2" a="1"/>
  <c r="Q841" i="2" s="1"/>
  <c r="Q752" i="2" a="1"/>
  <c r="Q752" i="2" s="1"/>
  <c r="Q603" i="2" a="1"/>
  <c r="Q603" i="2" s="1"/>
  <c r="Q79" i="2" a="1"/>
  <c r="Q79" i="2" s="1"/>
  <c r="Q48" i="2" a="1"/>
  <c r="Q48" i="2" s="1"/>
  <c r="Q413" i="2" a="1"/>
  <c r="Q413" i="2" s="1"/>
  <c r="Q715" i="2" a="1"/>
  <c r="Q715" i="2" s="1"/>
  <c r="Q531" i="2" a="1"/>
  <c r="Q531" i="2" s="1"/>
  <c r="Q770" i="2" a="1"/>
  <c r="Q770" i="2" s="1"/>
  <c r="Q348" i="2" a="1"/>
  <c r="Q348" i="2" s="1"/>
  <c r="Q466" i="2" a="1"/>
  <c r="Q466" i="2" s="1"/>
  <c r="Q848" i="2" a="1"/>
  <c r="Q848" i="2" s="1"/>
  <c r="Q407" i="2" a="1"/>
  <c r="Q407" i="2" s="1"/>
  <c r="Q129" i="2" a="1"/>
  <c r="Q129" i="2" s="1"/>
  <c r="Q905" i="2" a="1"/>
  <c r="Q905" i="2" s="1"/>
  <c r="Q794" i="2" a="1"/>
  <c r="Q794" i="2" s="1"/>
  <c r="Q390" i="2" a="1"/>
  <c r="Q390" i="2" s="1"/>
  <c r="Q819" i="2" a="1"/>
  <c r="Q819" i="2" s="1"/>
  <c r="Q648" i="2" a="1"/>
  <c r="Q648" i="2" s="1"/>
  <c r="Q429" i="2" a="1"/>
  <c r="Q429" i="2" s="1"/>
  <c r="Q210" i="2" a="1"/>
  <c r="Q210" i="2" s="1"/>
  <c r="Q278" i="2" a="1"/>
  <c r="Q278" i="2" s="1"/>
  <c r="Q764" i="2" a="1"/>
  <c r="Q764" i="2" s="1"/>
  <c r="Q913" i="2" a="1"/>
  <c r="Q913" i="2" s="1"/>
  <c r="Q700" i="2" a="1"/>
  <c r="Q700" i="2" s="1"/>
  <c r="Q304" i="2" a="1"/>
  <c r="Q304" i="2" s="1"/>
  <c r="Q949" i="2" a="1"/>
  <c r="Q949" i="2" s="1"/>
  <c r="Q230" i="2" a="1"/>
  <c r="Q230" i="2" s="1"/>
  <c r="Q782" i="2" a="1"/>
  <c r="Q782" i="2" s="1"/>
  <c r="Q490" i="2" a="1"/>
  <c r="Q490" i="2" s="1"/>
  <c r="Q739" i="2" a="1"/>
  <c r="Q739" i="2" s="1"/>
  <c r="Q747" i="2" a="1"/>
  <c r="Q747" i="2" s="1"/>
  <c r="Q959" i="2" a="1"/>
  <c r="Q959" i="2" s="1"/>
  <c r="Q49" i="2" a="1"/>
  <c r="Q49" i="2" s="1"/>
  <c r="Q273" i="2" a="1"/>
  <c r="Q273" i="2" s="1"/>
  <c r="Q736" i="2" a="1"/>
  <c r="Q736" i="2" s="1"/>
  <c r="Q167" i="2" a="1"/>
  <c r="Q167" i="2" s="1"/>
  <c r="Q849" i="2" a="1"/>
  <c r="Q849" i="2" s="1"/>
  <c r="Q753" i="2" a="1"/>
  <c r="Q753" i="2" s="1"/>
  <c r="Q163" i="2" a="1"/>
  <c r="Q163" i="2" s="1"/>
  <c r="Q554" i="2" a="1"/>
  <c r="Q554" i="2" s="1"/>
  <c r="Q533" i="2" a="1"/>
  <c r="Q533" i="2" s="1"/>
  <c r="Q60" i="2" a="1"/>
  <c r="Q60" i="2" s="1"/>
  <c r="Q963" i="2" a="1"/>
  <c r="Q963" i="2" s="1"/>
  <c r="Q315" i="2" a="1"/>
  <c r="Q315" i="2" s="1"/>
  <c r="Q469" i="2" a="1"/>
  <c r="Q469" i="2" s="1"/>
  <c r="Q170" i="2" a="1"/>
  <c r="Q170" i="2" s="1"/>
  <c r="Q580" i="2" a="1"/>
  <c r="Q580" i="2" s="1"/>
  <c r="Q98" i="2" a="1"/>
  <c r="Q98" i="2" s="1"/>
  <c r="Q342" i="2" a="1"/>
  <c r="Q342" i="2" s="1"/>
  <c r="Q349" i="2" a="1"/>
  <c r="Q349" i="2" s="1"/>
  <c r="Q478" i="2" a="1"/>
  <c r="Q478" i="2" s="1"/>
  <c r="Q235" i="2" a="1"/>
  <c r="Q235" i="2" s="1"/>
  <c r="Q654" i="2" a="1"/>
  <c r="Q654" i="2" s="1"/>
  <c r="Q487" i="2" a="1"/>
  <c r="Q487" i="2" s="1"/>
  <c r="Q345" i="2" a="1"/>
  <c r="Q345" i="2" s="1"/>
  <c r="Q568" i="2" a="1"/>
  <c r="Q568" i="2" s="1"/>
  <c r="Q328" i="2" a="1"/>
  <c r="Q328" i="2" s="1"/>
  <c r="Q456" i="2" a="1"/>
  <c r="Q456" i="2" s="1"/>
  <c r="Q330" i="2" a="1"/>
  <c r="Q330" i="2" s="1"/>
  <c r="Q901" i="2" a="1"/>
  <c r="Q901" i="2" s="1"/>
  <c r="Q968" i="2" a="1"/>
  <c r="Q968" i="2" s="1"/>
  <c r="Q632" i="2" a="1"/>
  <c r="Q632" i="2" s="1"/>
  <c r="Q688" i="2" a="1"/>
  <c r="Q688" i="2" s="1"/>
  <c r="Q276" i="2" a="1"/>
  <c r="Q276" i="2" s="1"/>
  <c r="Q850" i="2" a="1"/>
  <c r="Q850" i="2" s="1"/>
  <c r="Q149" i="2" a="1"/>
  <c r="Q149" i="2" s="1"/>
  <c r="Q842" i="2" a="1"/>
  <c r="Q842" i="2" s="1"/>
  <c r="Q935" i="2" a="1"/>
  <c r="Q935" i="2" s="1"/>
  <c r="Q572" i="2" a="1"/>
  <c r="Q572" i="2" s="1"/>
  <c r="Q519" i="2" a="1"/>
  <c r="Q519" i="2" s="1"/>
  <c r="Q642" i="2" a="1"/>
  <c r="Q642" i="2" s="1"/>
  <c r="Q448" i="2" a="1"/>
  <c r="Q448" i="2" s="1"/>
  <c r="Q484" i="2" a="1"/>
  <c r="Q484" i="2" s="1"/>
  <c r="Q941" i="2" a="1"/>
  <c r="Q941" i="2" s="1"/>
  <c r="Q729" i="2" a="1"/>
  <c r="Q729" i="2" s="1"/>
  <c r="Q922" i="2" a="1"/>
  <c r="Q922" i="2" s="1"/>
  <c r="Q146" i="2" a="1"/>
  <c r="Q146" i="2" s="1"/>
  <c r="Q646" i="2" a="1"/>
  <c r="Q646" i="2" s="1"/>
  <c r="Q860" i="2" a="1"/>
  <c r="Q860" i="2" s="1"/>
  <c r="Q772" i="2" a="1"/>
  <c r="Q772" i="2" s="1"/>
  <c r="Q925" i="2" a="1"/>
  <c r="Q925" i="2" s="1"/>
  <c r="Q182" i="2" a="1"/>
  <c r="Q182" i="2" s="1"/>
  <c r="Q567" i="2" a="1"/>
  <c r="Q567" i="2" s="1"/>
  <c r="Q289" i="2" a="1"/>
  <c r="Q289" i="2" s="1"/>
  <c r="Q633" i="2" a="1"/>
  <c r="Q633" i="2" s="1"/>
  <c r="Q209" i="2" a="1"/>
  <c r="Q209" i="2" s="1"/>
  <c r="Q745" i="2" a="1"/>
  <c r="Q745" i="2" s="1"/>
  <c r="Q591" i="2" a="1"/>
  <c r="Q591" i="2" s="1"/>
  <c r="Q552" i="2" a="1"/>
  <c r="Q552" i="2" s="1"/>
  <c r="Q790" i="2" a="1"/>
  <c r="Q790" i="2" s="1"/>
  <c r="Q748" i="2" a="1"/>
  <c r="Q748" i="2" s="1"/>
  <c r="Q227" i="2" a="1"/>
  <c r="Q227" i="2" s="1"/>
  <c r="Q395" i="2" a="1"/>
  <c r="Q395" i="2" s="1"/>
  <c r="Q445" i="2" a="1"/>
  <c r="Q445" i="2" s="1"/>
  <c r="Q290" i="2" a="1"/>
  <c r="Q290" i="2" s="1"/>
  <c r="Q64" i="2" a="1"/>
  <c r="Q64" i="2" s="1"/>
  <c r="Q957" i="2" a="1"/>
  <c r="Q957" i="2" s="1"/>
  <c r="Q145" i="2" a="1"/>
  <c r="Q145" i="2" s="1"/>
  <c r="Q973" i="2" a="1"/>
  <c r="Q973" i="2" s="1"/>
  <c r="Q962" i="2" a="1"/>
  <c r="Q962" i="2" s="1"/>
  <c r="Q254" i="2" a="1"/>
  <c r="Q254" i="2" s="1"/>
  <c r="Q459" i="2" a="1"/>
  <c r="Q459" i="2" s="1"/>
  <c r="Q812" i="2" a="1"/>
  <c r="Q812" i="2" s="1"/>
  <c r="Q412" i="2" a="1"/>
  <c r="Q412" i="2" s="1"/>
  <c r="Q884" i="2" a="1"/>
  <c r="Q884" i="2" s="1"/>
  <c r="Q527" i="2" a="1"/>
  <c r="Q527" i="2" s="1"/>
  <c r="Q196" i="2" a="1"/>
  <c r="Q196" i="2" s="1"/>
  <c r="Q334" i="2" a="1"/>
  <c r="Q334" i="2" s="1"/>
  <c r="Q631" i="2" a="1"/>
  <c r="Q631" i="2" s="1"/>
  <c r="Q651" i="2" a="1"/>
  <c r="Q651" i="2" s="1"/>
  <c r="Q669" i="2" a="1"/>
  <c r="Q669" i="2" s="1"/>
  <c r="Q394" i="2" a="1"/>
  <c r="Q394" i="2" s="1"/>
  <c r="Q967" i="2" a="1"/>
  <c r="Q967" i="2" s="1"/>
  <c r="Q360" i="2" a="1"/>
  <c r="Q360" i="2" s="1"/>
  <c r="Q828" i="2" a="1"/>
  <c r="Q828" i="2" s="1"/>
  <c r="Q623" i="2" a="1"/>
  <c r="Q623" i="2" s="1"/>
  <c r="Q461" i="2" a="1"/>
  <c r="Q461" i="2" s="1"/>
  <c r="Q722" i="2" a="1"/>
  <c r="Q722" i="2" s="1"/>
  <c r="Q408" i="2" a="1"/>
  <c r="Q408" i="2" s="1"/>
  <c r="Q156" i="2" a="1"/>
  <c r="Q156" i="2" s="1"/>
  <c r="Q125" i="2" a="1"/>
  <c r="Q125" i="2" s="1"/>
  <c r="Q306" i="2" a="1"/>
  <c r="Q306" i="2" s="1"/>
  <c r="Q621" i="2" a="1"/>
  <c r="Q621" i="2" s="1"/>
  <c r="Q885" i="2" a="1"/>
  <c r="Q885" i="2" s="1"/>
  <c r="Q6" i="2" a="1"/>
  <c r="Q6" i="2" s="1"/>
  <c r="Q57" i="2" a="1"/>
  <c r="Q57" i="2" s="1"/>
  <c r="Q551" i="2" a="1"/>
  <c r="Q551" i="2" s="1"/>
  <c r="Q545" i="2" a="1"/>
  <c r="Q545" i="2" s="1"/>
  <c r="Q205" i="2" a="1"/>
  <c r="Q205" i="2" s="1"/>
  <c r="Q820" i="2" a="1"/>
  <c r="Q820" i="2" s="1"/>
  <c r="Q757" i="2" a="1"/>
  <c r="Q757" i="2" s="1"/>
  <c r="Q41" i="2" a="1"/>
  <c r="Q41" i="2" s="1"/>
  <c r="Q260" i="2" a="1"/>
  <c r="Q260" i="2" s="1"/>
  <c r="Q479" i="2" a="1"/>
  <c r="Q479" i="2" s="1"/>
  <c r="Q245" i="2" a="1"/>
  <c r="Q245" i="2" s="1"/>
  <c r="Q369" i="2" a="1"/>
  <c r="Q369" i="2" s="1"/>
  <c r="Q895" i="2" a="1"/>
  <c r="Q895" i="2" s="1"/>
  <c r="Q67" i="2" a="1"/>
  <c r="Q67" i="2" s="1"/>
  <c r="Q169" i="2" a="1"/>
  <c r="Q169" i="2" s="1"/>
  <c r="Q682" i="2" a="1"/>
  <c r="Q682" i="2" s="1"/>
  <c r="Q921" i="2" a="1"/>
  <c r="Q921" i="2" s="1"/>
  <c r="Q287" i="2" a="1"/>
  <c r="Q287" i="2" s="1"/>
  <c r="Q362" i="2" a="1"/>
  <c r="Q362" i="2" s="1"/>
  <c r="Q311" i="2" a="1"/>
  <c r="Q311" i="2" s="1"/>
  <c r="Q593" i="2" a="1"/>
  <c r="Q593" i="2" s="1"/>
  <c r="Q34" i="2" a="1"/>
  <c r="Q34" i="2" s="1"/>
  <c r="Q20" i="2" a="1"/>
  <c r="Q20" i="2" s="1"/>
  <c r="Q259" i="2" a="1"/>
  <c r="Q259" i="2" s="1"/>
  <c r="Q147" i="2" a="1"/>
  <c r="Q147" i="2" s="1"/>
  <c r="Q951" i="2" a="1"/>
  <c r="Q951" i="2" s="1"/>
  <c r="Q188" i="2" a="1"/>
  <c r="Q188" i="2" s="1"/>
  <c r="Q495" i="2" a="1"/>
  <c r="Q495" i="2" s="1"/>
  <c r="Q956" i="2" a="1"/>
  <c r="Q956" i="2" s="1"/>
  <c r="Q451" i="2" a="1"/>
  <c r="Q451" i="2" s="1"/>
  <c r="Q266" i="2" a="1"/>
  <c r="Q266" i="2" s="1"/>
  <c r="Q282" i="2" a="1"/>
  <c r="Q282" i="2" s="1"/>
  <c r="Q713" i="2" a="1"/>
  <c r="Q713" i="2" s="1"/>
  <c r="Q80" i="2" a="1"/>
  <c r="Q80" i="2" s="1"/>
  <c r="Q750" i="2" a="1"/>
  <c r="Q750" i="2" s="1"/>
  <c r="Q627" i="2" a="1"/>
  <c r="Q627" i="2" s="1"/>
  <c r="Q599" i="2" a="1"/>
  <c r="Q599" i="2" s="1"/>
  <c r="Q343" i="2" a="1"/>
  <c r="Q343" i="2" s="1"/>
  <c r="Q730" i="2" a="1"/>
  <c r="Q730" i="2" s="1"/>
  <c r="Q823" i="2" a="1"/>
  <c r="Q823" i="2" s="1"/>
  <c r="Q285" i="2" a="1"/>
  <c r="Q285" i="2" s="1"/>
  <c r="Q364" i="2" a="1"/>
  <c r="Q364" i="2" s="1"/>
  <c r="Q939" i="2" a="1"/>
  <c r="Q939" i="2" s="1"/>
  <c r="Q594" i="2" a="1"/>
  <c r="Q594" i="2" s="1"/>
  <c r="Q614" i="2" a="1"/>
  <c r="Q614" i="2" s="1"/>
  <c r="Q297" i="2" a="1"/>
  <c r="Q297" i="2" s="1"/>
  <c r="Q859" i="2" a="1"/>
  <c r="Q859" i="2" s="1"/>
  <c r="Q420" i="2" a="1"/>
  <c r="Q420" i="2" s="1"/>
  <c r="Q302" i="2" a="1"/>
  <c r="Q302" i="2" s="1"/>
  <c r="Q202" i="2" a="1"/>
  <c r="Q202" i="2" s="1"/>
  <c r="Q525" i="2" a="1"/>
  <c r="Q525" i="2" s="1"/>
  <c r="Q505" i="2" a="1"/>
  <c r="Q505" i="2" s="1"/>
  <c r="Q183" i="2" a="1"/>
  <c r="Q183" i="2" s="1"/>
  <c r="Q284" i="2" a="1"/>
  <c r="Q284" i="2" s="1"/>
  <c r="Q835" i="2" a="1"/>
  <c r="Q835" i="2" s="1"/>
  <c r="Q658" i="2" a="1"/>
  <c r="Q658" i="2" s="1"/>
  <c r="Q51" i="2" a="1"/>
  <c r="Q51" i="2" s="1"/>
  <c r="Q249" i="2" a="1"/>
  <c r="Q249" i="2" s="1"/>
  <c r="Q372" i="2" a="1"/>
  <c r="Q372" i="2" s="1"/>
  <c r="Q894" i="2" a="1"/>
  <c r="Q894" i="2" s="1"/>
  <c r="Q379" i="2" a="1"/>
  <c r="Q379" i="2" s="1"/>
  <c r="Q851" i="2" a="1"/>
  <c r="Q851" i="2" s="1"/>
  <c r="Q293" i="2" a="1"/>
  <c r="Q293" i="2" s="1"/>
  <c r="Q373" i="2" a="1"/>
  <c r="Q373" i="2" s="1"/>
  <c r="Q436" i="2" a="1"/>
  <c r="Q436" i="2" s="1"/>
  <c r="Q914" i="2" a="1"/>
  <c r="Q914" i="2" s="1"/>
  <c r="Q40" i="2" a="1"/>
  <c r="Q40" i="2" s="1"/>
  <c r="Q707" i="2" a="1"/>
  <c r="Q707" i="2" s="1"/>
  <c r="Q400" i="2" a="1"/>
  <c r="Q400" i="2" s="1"/>
  <c r="Q283" i="2" a="1"/>
  <c r="Q283" i="2" s="1"/>
  <c r="Q36" i="2" a="1"/>
  <c r="Q36" i="2" s="1"/>
  <c r="Q370" i="2" a="1"/>
  <c r="Q370" i="2" s="1"/>
  <c r="Q25" i="2" a="1"/>
  <c r="Q25" i="2" s="1"/>
  <c r="Q28" i="2" a="1"/>
  <c r="Q28" i="2" s="1"/>
  <c r="Q666" i="2" a="1"/>
  <c r="Q666" i="2" s="1"/>
  <c r="Q65" i="2" a="1"/>
  <c r="Q65" i="2" s="1"/>
  <c r="Q476" i="2" a="1"/>
  <c r="Q476" i="2" s="1"/>
  <c r="Q920" i="2" a="1"/>
  <c r="Q920" i="2" s="1"/>
  <c r="Q464" i="2" a="1"/>
  <c r="Q464" i="2" s="1"/>
  <c r="Q185" i="2" a="1"/>
  <c r="Q185" i="2" s="1"/>
  <c r="Q186" i="2" a="1"/>
  <c r="Q186" i="2" s="1"/>
  <c r="Q755" i="2" a="1"/>
  <c r="Q755" i="2" s="1"/>
  <c r="Q721" i="2" a="1"/>
  <c r="Q721" i="2" s="1"/>
  <c r="Q350" i="2" a="1"/>
  <c r="Q350" i="2" s="1"/>
  <c r="Q483" i="2" a="1"/>
  <c r="Q483" i="2" s="1"/>
  <c r="Q652" i="2" a="1"/>
  <c r="Q652" i="2" s="1"/>
  <c r="Q766" i="2" a="1"/>
  <c r="Q766" i="2" s="1"/>
  <c r="Q896" i="2" a="1"/>
  <c r="Q896" i="2" s="1"/>
  <c r="Q414" i="2" a="1"/>
  <c r="Q414" i="2" s="1"/>
  <c r="Q497" i="2" a="1"/>
  <c r="Q497" i="2" s="1"/>
  <c r="Q470" i="2" a="1"/>
  <c r="Q470" i="2" s="1"/>
  <c r="Q562" i="2" a="1"/>
  <c r="Q562" i="2" s="1"/>
  <c r="Q366" i="2" a="1"/>
  <c r="Q366" i="2" s="1"/>
  <c r="Q389" i="2" a="1"/>
  <c r="Q389" i="2" s="1"/>
  <c r="Q649" i="2" a="1"/>
  <c r="Q649" i="2" s="1"/>
  <c r="Q37" i="2" a="1"/>
  <c r="Q37" i="2" s="1"/>
  <c r="Q417" i="2" a="1"/>
  <c r="Q417" i="2" s="1"/>
  <c r="Q367" i="2" a="1"/>
  <c r="Q367" i="2" s="1"/>
  <c r="Q325" i="2" a="1"/>
  <c r="Q325" i="2" s="1"/>
  <c r="Q475" i="2" a="1"/>
  <c r="Q475" i="2" s="1"/>
  <c r="Q346" i="2" a="1"/>
  <c r="Q346" i="2" s="1"/>
  <c r="Q945" i="2" a="1"/>
  <c r="Q945" i="2" s="1"/>
  <c r="Q616" i="2" a="1"/>
  <c r="Q616" i="2" s="1"/>
  <c r="Q142" i="2" a="1"/>
  <c r="Q142" i="2" s="1"/>
  <c r="Q741" i="2" a="1"/>
  <c r="Q741" i="2" s="1"/>
  <c r="Q194" i="2" a="1"/>
  <c r="Q194" i="2" s="1"/>
  <c r="Q585" i="2" a="1"/>
  <c r="Q585" i="2" s="1"/>
  <c r="Q322" i="2" a="1"/>
  <c r="Q322" i="2" s="1"/>
  <c r="Q341" i="2" a="1"/>
  <c r="Q341" i="2" s="1"/>
  <c r="Q796" i="2" a="1"/>
  <c r="Q796" i="2" s="1"/>
  <c r="Q75" i="2" a="1"/>
  <c r="Q75" i="2" s="1"/>
  <c r="Q68" i="2" a="1"/>
  <c r="Q68" i="2" s="1"/>
  <c r="Q86" i="2" a="1"/>
  <c r="Q86" i="2" s="1"/>
  <c r="Q709" i="2" a="1"/>
  <c r="Q709" i="2" s="1"/>
  <c r="Q723" i="2" a="1"/>
  <c r="Q723" i="2" s="1"/>
  <c r="Q923" i="2" a="1"/>
  <c r="Q923" i="2" s="1"/>
  <c r="Q918" i="2" a="1"/>
  <c r="Q918" i="2" s="1"/>
  <c r="Q589" i="2" a="1"/>
  <c r="Q589" i="2" s="1"/>
  <c r="Q135" i="2" a="1"/>
  <c r="Q135" i="2" s="1"/>
  <c r="Q442" i="2" a="1"/>
  <c r="Q442" i="2" s="1"/>
  <c r="Q93" i="2" a="1"/>
  <c r="Q93" i="2" s="1"/>
  <c r="Q457" i="2" a="1"/>
  <c r="Q457" i="2" s="1"/>
  <c r="Q530" i="2" a="1"/>
  <c r="Q530" i="2" s="1"/>
  <c r="Q189" i="2" a="1"/>
  <c r="Q189" i="2" s="1"/>
  <c r="Q214" i="2" a="1"/>
  <c r="Q214" i="2" s="1"/>
  <c r="Q361" i="2" a="1"/>
  <c r="Q361" i="2" s="1"/>
  <c r="Q571" i="2" a="1"/>
  <c r="Q571" i="2" s="1"/>
  <c r="Q508" i="2" a="1"/>
  <c r="Q508" i="2" s="1"/>
  <c r="Q24" i="2" a="1"/>
  <c r="Q24" i="2" s="1"/>
  <c r="Q855" i="2" a="1"/>
  <c r="Q855" i="2" s="1"/>
  <c r="Q734" i="2" a="1"/>
  <c r="Q734" i="2" s="1"/>
  <c r="Q838" i="2" a="1"/>
  <c r="Q838" i="2" s="1"/>
  <c r="Q473" i="2" a="1"/>
  <c r="Q473" i="2" s="1"/>
  <c r="Q382" i="2" a="1"/>
  <c r="Q382" i="2" s="1"/>
  <c r="Q581" i="2" a="1"/>
  <c r="Q581" i="2" s="1"/>
  <c r="Q504" i="2" a="1"/>
  <c r="Q504" i="2" s="1"/>
  <c r="Q795" i="2" a="1"/>
  <c r="Q795" i="2" s="1"/>
  <c r="Q735" i="2" a="1"/>
  <c r="Q735" i="2" s="1"/>
  <c r="Q190" i="2" a="1"/>
  <c r="Q190" i="2" s="1"/>
  <c r="Q870" i="2" a="1"/>
  <c r="Q870" i="2" s="1"/>
  <c r="Q969" i="2" a="1"/>
  <c r="Q969" i="2" s="1"/>
  <c r="Q832" i="2" a="1"/>
  <c r="Q832" i="2" s="1"/>
  <c r="Q809" i="2" a="1"/>
  <c r="Q809" i="2" s="1"/>
  <c r="Q733" i="2" a="1"/>
  <c r="Q733" i="2" s="1"/>
  <c r="Q936" i="2" a="1"/>
  <c r="Q936" i="2" s="1"/>
  <c r="Q781" i="2" a="1"/>
  <c r="Q781" i="2" s="1"/>
  <c r="Q785" i="2" a="1"/>
  <c r="Q785" i="2" s="1"/>
  <c r="Q565" i="2" a="1"/>
  <c r="Q565" i="2" s="1"/>
  <c r="Q635" i="2" a="1"/>
  <c r="Q635" i="2" s="1"/>
  <c r="Q587" i="2" a="1"/>
  <c r="Q587" i="2" s="1"/>
  <c r="Q517" i="2" a="1"/>
  <c r="Q517" i="2" s="1"/>
  <c r="Q7" i="2" a="1"/>
  <c r="Q7" i="2" s="1"/>
  <c r="Q74" i="2" a="1"/>
  <c r="Q74" i="2" s="1"/>
  <c r="Q66" i="2" a="1"/>
  <c r="Q66" i="2" s="1"/>
  <c r="Q516" i="2" a="1"/>
  <c r="Q516" i="2" s="1"/>
  <c r="Q843" i="2" a="1"/>
  <c r="Q843" i="2" s="1"/>
  <c r="Q201" i="2" a="1"/>
  <c r="Q201" i="2" s="1"/>
  <c r="Q154" i="2" a="1"/>
  <c r="Q154" i="2" s="1"/>
  <c r="Q889" i="2" a="1"/>
  <c r="Q889" i="2" s="1"/>
  <c r="Q500" i="2" a="1"/>
  <c r="Q500" i="2" s="1"/>
  <c r="Q814" i="2" a="1"/>
  <c r="Q814" i="2" s="1"/>
  <c r="Q798" i="2" a="1"/>
  <c r="Q798" i="2" s="1"/>
  <c r="Q173" i="2" a="1"/>
  <c r="Q173" i="2" s="1"/>
  <c r="Q22" i="2" a="1"/>
  <c r="Q22" i="2" s="1"/>
  <c r="Q228" i="2" a="1"/>
  <c r="Q228" i="2" s="1"/>
  <c r="Q761" i="2" a="1"/>
  <c r="Q761" i="2" s="1"/>
  <c r="Q481" i="2" a="1"/>
  <c r="Q481" i="2" s="1"/>
  <c r="Q95" i="2" a="1"/>
  <c r="Q95" i="2" s="1"/>
  <c r="Q557" i="2" a="1"/>
  <c r="Q557" i="2" s="1"/>
  <c r="Q910" i="2" a="1"/>
  <c r="Q910" i="2" s="1"/>
  <c r="Q242" i="2" a="1"/>
  <c r="Q242" i="2" s="1"/>
  <c r="Q46" i="2" a="1"/>
  <c r="Q46" i="2" s="1"/>
  <c r="Q191" i="2" a="1"/>
  <c r="Q191" i="2" s="1"/>
  <c r="Q861" i="2" a="1"/>
  <c r="Q861" i="2" s="1"/>
  <c r="Q221" i="2" a="1"/>
  <c r="Q221" i="2" s="1"/>
  <c r="Q208" i="2" a="1"/>
  <c r="Q208" i="2" s="1"/>
  <c r="Q103" i="2" a="1"/>
  <c r="Q103" i="2" s="1"/>
  <c r="Q839" i="2" a="1"/>
  <c r="Q839" i="2" s="1"/>
  <c r="Q14" i="2" a="1"/>
  <c r="Q14" i="2" s="1"/>
  <c r="Q513" i="2" a="1"/>
  <c r="Q513" i="2" s="1"/>
  <c r="Q122" i="2" a="1"/>
  <c r="Q122" i="2" s="1"/>
  <c r="Q856" i="2" a="1"/>
  <c r="Q856" i="2" s="1"/>
  <c r="Q706" i="2" a="1"/>
  <c r="Q706" i="2" s="1"/>
  <c r="Q312" i="2" a="1"/>
  <c r="Q312" i="2" s="1"/>
  <c r="Q121" i="2" a="1"/>
  <c r="Q121" i="2" s="1"/>
  <c r="Q904" i="2" a="1"/>
  <c r="Q904" i="2" s="1"/>
  <c r="Q511" i="2" a="1"/>
  <c r="Q511" i="2" s="1"/>
  <c r="Q610" i="2" a="1"/>
  <c r="Q610" i="2" s="1"/>
  <c r="Q836" i="2" a="1"/>
  <c r="Q836" i="2" s="1"/>
  <c r="Q924" i="2" a="1"/>
  <c r="Q924" i="2" s="1"/>
  <c r="Q579" i="2" a="1"/>
  <c r="Q579" i="2" s="1"/>
  <c r="Q269" i="2" a="1"/>
  <c r="Q269" i="2" s="1"/>
  <c r="Q934" i="2" a="1"/>
  <c r="Q934" i="2" s="1"/>
  <c r="Q296" i="2" a="1"/>
  <c r="Q296" i="2" s="1"/>
  <c r="Q601" i="2" a="1"/>
  <c r="Q601" i="2" s="1"/>
  <c r="Q452" i="2" a="1"/>
  <c r="Q452" i="2" s="1"/>
  <c r="Q368" i="2" a="1"/>
  <c r="Q368" i="2" s="1"/>
  <c r="Q140" i="2" a="1"/>
  <c r="Q140" i="2" s="1"/>
  <c r="Q4" i="2" a="1"/>
  <c r="Q4" i="2" s="1"/>
  <c r="Q937" i="2" a="1"/>
  <c r="Q937" i="2" s="1"/>
  <c r="Q16" i="2" a="1"/>
  <c r="Q16" i="2" s="1"/>
  <c r="Q425" i="2" a="1"/>
  <c r="Q425" i="2" s="1"/>
  <c r="Q564" i="2" a="1"/>
  <c r="Q564" i="2" s="1"/>
  <c r="Q462" i="2" a="1"/>
  <c r="Q462" i="2" s="1"/>
  <c r="Q799" i="2" a="1"/>
  <c r="Q799" i="2" s="1"/>
  <c r="Q771" i="2" a="1"/>
  <c r="Q771" i="2" s="1"/>
  <c r="Q152" i="2" a="1"/>
  <c r="Q152" i="2" s="1"/>
  <c r="Q846" i="2" a="1"/>
  <c r="Q846" i="2" s="1"/>
  <c r="Q865" i="2" a="1"/>
  <c r="Q865" i="2" s="1"/>
  <c r="Q824" i="2" a="1"/>
  <c r="Q824" i="2" s="1"/>
  <c r="Q754" i="2" a="1"/>
  <c r="Q754" i="2" s="1"/>
  <c r="Q629" i="2" a="1"/>
  <c r="Q629" i="2" s="1"/>
  <c r="Q403" i="2" a="1"/>
  <c r="Q403" i="2" s="1"/>
  <c r="Q744" i="2" a="1"/>
  <c r="Q744" i="2" s="1"/>
  <c r="Q906" i="2" a="1"/>
  <c r="Q906" i="2" s="1"/>
  <c r="Q137" i="2" a="1"/>
  <c r="Q137" i="2" s="1"/>
  <c r="Q512" i="2" a="1"/>
  <c r="Q512" i="2" s="1"/>
  <c r="Q71" i="2" a="1"/>
  <c r="Q71" i="2" s="1"/>
  <c r="Q960" i="2" a="1"/>
  <c r="Q960" i="2" s="1"/>
  <c r="Q52" i="2" a="1"/>
  <c r="Q52" i="2" s="1"/>
  <c r="Q926" i="2" a="1"/>
  <c r="Q926" i="2" s="1"/>
  <c r="Q9" i="2" a="1"/>
  <c r="Q9" i="2" s="1"/>
  <c r="Q862" i="2" a="1"/>
  <c r="Q862" i="2" s="1"/>
  <c r="Q3" i="2" a="1"/>
  <c r="Q3" i="2" s="1"/>
  <c r="Q710" i="2" a="1"/>
  <c r="Q710" i="2" s="1"/>
  <c r="Q933" i="2" a="1"/>
  <c r="Q933" i="2" s="1"/>
  <c r="Q88" i="2" a="1"/>
  <c r="Q88" i="2" s="1"/>
  <c r="Q118" i="2" a="1"/>
  <c r="Q118" i="2" s="1"/>
  <c r="Q845" i="2" a="1"/>
  <c r="Q845" i="2" s="1"/>
  <c r="Q477" i="2" a="1"/>
  <c r="Q477" i="2" s="1"/>
  <c r="Q611" i="2" a="1"/>
  <c r="Q611" i="2" s="1"/>
  <c r="Q5" i="2" a="1"/>
  <c r="Q5" i="2" s="1"/>
  <c r="Q87" i="2" a="1"/>
  <c r="Q87" i="2" s="1"/>
  <c r="Q265" i="2" a="1"/>
  <c r="Q265" i="2" s="1"/>
  <c r="Q612" i="2" a="1"/>
  <c r="Q612" i="2" s="1"/>
  <c r="Q116" i="2" a="1"/>
  <c r="Q116" i="2" s="1"/>
  <c r="Q592" i="2" a="1"/>
  <c r="Q592" i="2" s="1"/>
  <c r="Q943" i="2" a="1"/>
  <c r="Q943" i="2" s="1"/>
  <c r="Q890" i="2" a="1"/>
  <c r="Q890" i="2" s="1"/>
  <c r="Q279" i="2" a="1"/>
  <c r="Q279" i="2" s="1"/>
  <c r="Q660" i="2" a="1"/>
  <c r="Q660" i="2" s="1"/>
  <c r="Q630" i="2" a="1"/>
  <c r="Q630" i="2" s="1"/>
  <c r="Q549" i="2" a="1"/>
  <c r="Q549" i="2" s="1"/>
  <c r="Q136" i="2" a="1"/>
  <c r="Q136" i="2" s="1"/>
  <c r="Q174" i="2" a="1"/>
  <c r="Q174" i="2" s="1"/>
  <c r="Q829" i="2" a="1"/>
  <c r="Q829" i="2" s="1"/>
  <c r="Q869" i="2" a="1"/>
  <c r="Q869" i="2" s="1"/>
  <c r="Q203" i="2" a="1"/>
  <c r="Q203" i="2" s="1"/>
  <c r="Q873" i="2" a="1"/>
  <c r="Q873" i="2" s="1"/>
  <c r="Q822" i="2" a="1"/>
  <c r="Q822" i="2" s="1"/>
  <c r="Q815" i="2" a="1"/>
  <c r="Q815" i="2" s="1"/>
  <c r="Q534" i="2" a="1"/>
  <c r="Q534" i="2" s="1"/>
  <c r="Q930" i="2" a="1"/>
  <c r="Q930" i="2" s="1"/>
  <c r="Q605" i="2" a="1"/>
  <c r="Q605" i="2" s="1"/>
  <c r="Q257" i="2" a="1"/>
  <c r="Q257" i="2" s="1"/>
  <c r="Q132" i="2" a="1"/>
  <c r="Q132" i="2" s="1"/>
  <c r="Q134" i="2" a="1"/>
  <c r="Q134" i="2" s="1"/>
  <c r="Q515" i="2" a="1"/>
  <c r="Q515" i="2" s="1"/>
  <c r="Q231" i="2" a="1"/>
  <c r="Q231" i="2" s="1"/>
  <c r="Q164" i="2" a="1"/>
  <c r="Q164" i="2" s="1"/>
  <c r="Q171" i="2" a="1"/>
  <c r="Q171" i="2" s="1"/>
  <c r="Q215" i="2" a="1"/>
  <c r="Q215" i="2" s="1"/>
  <c r="Q897" i="2" a="1"/>
  <c r="Q897" i="2" s="1"/>
  <c r="Q942" i="2" a="1"/>
  <c r="Q942" i="2" s="1"/>
  <c r="Q47" i="2" a="1"/>
  <c r="Q47" i="2" s="1"/>
  <c r="Q501" i="2" a="1"/>
  <c r="Q501" i="2" s="1"/>
  <c r="Q141" i="2" a="1"/>
  <c r="Q141" i="2" s="1"/>
  <c r="Q609" i="2" a="1"/>
  <c r="Q609" i="2" s="1"/>
  <c r="Q866" i="2" a="1"/>
  <c r="Q866" i="2" s="1"/>
  <c r="Q76" i="2" a="1"/>
  <c r="Q76" i="2" s="1"/>
  <c r="Q426" i="2" a="1"/>
  <c r="Q426" i="2" s="1"/>
  <c r="Q698" i="2" a="1"/>
  <c r="Q698" i="2" s="1"/>
  <c r="Q731" i="2" a="1"/>
  <c r="Q731" i="2" s="1"/>
  <c r="Q371" i="2" a="1"/>
  <c r="Q371" i="2" s="1"/>
  <c r="Q438" i="2" a="1"/>
  <c r="Q438" i="2" s="1"/>
  <c r="Q558" i="2" a="1"/>
  <c r="Q558" i="2" s="1"/>
  <c r="Q672" i="2" a="1"/>
  <c r="Q672" i="2" s="1"/>
  <c r="Q643" i="2" a="1"/>
  <c r="Q643" i="2" s="1"/>
  <c r="Q863" i="2" a="1"/>
  <c r="Q863" i="2" s="1"/>
  <c r="Q805" i="2" a="1"/>
  <c r="Q805" i="2" s="1"/>
  <c r="Q674" i="2" a="1"/>
  <c r="Q674" i="2" s="1"/>
  <c r="Q54" i="2" a="1"/>
  <c r="Q54" i="2" s="1"/>
  <c r="Q615" i="2" a="1"/>
  <c r="Q615" i="2" s="1"/>
  <c r="Q81" i="2" a="1"/>
  <c r="Q81" i="2" s="1"/>
  <c r="Q695" i="2" a="1"/>
  <c r="Q695" i="2" s="1"/>
  <c r="Q106" i="2" a="1"/>
  <c r="Q106" i="2" s="1"/>
  <c r="Q953" i="2" a="1"/>
  <c r="Q953" i="2" s="1"/>
  <c r="Q576" i="2" a="1"/>
  <c r="Q576" i="2" s="1"/>
  <c r="Q496" i="2" a="1"/>
  <c r="Q496" i="2" s="1"/>
  <c r="Q867" i="2" a="1"/>
  <c r="Q867" i="2" s="1"/>
  <c r="Q804" i="2" a="1"/>
  <c r="Q804" i="2" s="1"/>
  <c r="Q746" i="2" a="1"/>
  <c r="Q746" i="2" s="1"/>
  <c r="Q743" i="2" a="1"/>
  <c r="Q743" i="2" s="1"/>
  <c r="Q119" i="2" a="1"/>
  <c r="Q119" i="2" s="1"/>
  <c r="Q776" i="2" a="1"/>
  <c r="Q776" i="2" s="1"/>
  <c r="Q547" i="2" a="1"/>
  <c r="Q547" i="2" s="1"/>
  <c r="Q35" i="2" a="1"/>
  <c r="Q35" i="2" s="1"/>
  <c r="Q101" i="2" a="1"/>
  <c r="Q101" i="2" s="1"/>
  <c r="Q718" i="2" a="1"/>
  <c r="Q718" i="2" s="1"/>
  <c r="Q105" i="2" a="1"/>
  <c r="Q105" i="2" s="1"/>
  <c r="Q708" i="2" a="1"/>
  <c r="Q708" i="2" s="1"/>
  <c r="Q944" i="2" a="1"/>
  <c r="Q944" i="2" s="1"/>
  <c r="Q584" i="2" a="1"/>
  <c r="Q584" i="2" s="1"/>
  <c r="Q272" i="2" a="1"/>
  <c r="Q272" i="2" s="1"/>
  <c r="Q192" i="2" a="1"/>
  <c r="Q192" i="2" s="1"/>
  <c r="Q303" i="2" a="1"/>
  <c r="Q303" i="2" s="1"/>
  <c r="Q526" i="2" a="1"/>
  <c r="Q526" i="2" s="1"/>
  <c r="Q351" i="2" a="1"/>
  <c r="Q351" i="2" s="1"/>
  <c r="Q53" i="2" a="1"/>
  <c r="Q53" i="2" s="1"/>
  <c r="Q161" i="2" a="1"/>
  <c r="Q161" i="2" s="1"/>
  <c r="Q385" i="2" a="1"/>
  <c r="Q385" i="2" s="1"/>
  <c r="Q480" i="2" a="1"/>
  <c r="Q480" i="2" s="1"/>
  <c r="Q23" i="2" a="1"/>
  <c r="Q23" i="2" s="1"/>
  <c r="Q883" i="2" a="1"/>
  <c r="Q883" i="2" s="1"/>
  <c r="Q702" i="2" a="1"/>
  <c r="Q702" i="2" s="1"/>
  <c r="Q887" i="2" a="1"/>
  <c r="Q887" i="2" s="1"/>
  <c r="Q70" i="2" a="1"/>
  <c r="Q70" i="2" s="1"/>
  <c r="Q411" i="2" a="1"/>
  <c r="Q411" i="2" s="1"/>
  <c r="Q647" i="2" a="1"/>
  <c r="Q647" i="2" s="1"/>
  <c r="Q640" i="2" a="1"/>
  <c r="Q640" i="2" s="1"/>
  <c r="Q123" i="2" a="1"/>
  <c r="Q123" i="2" s="1"/>
  <c r="Q108" i="2" a="1"/>
  <c r="Q108" i="2" s="1"/>
  <c r="Q597" i="2" a="1"/>
  <c r="Q597" i="2" s="1"/>
  <c r="Q234" i="2" a="1"/>
  <c r="Q234" i="2" s="1"/>
  <c r="Q767" i="2" a="1"/>
  <c r="Q767" i="2" s="1"/>
  <c r="Q509" i="2" a="1"/>
  <c r="Q509" i="2" s="1"/>
  <c r="Q56" i="2" a="1"/>
  <c r="Q56" i="2" s="1"/>
  <c r="Q229" i="2" a="1"/>
  <c r="Q229" i="2" s="1"/>
  <c r="Q94" i="2" a="1"/>
  <c r="Q94" i="2" s="1"/>
  <c r="Q800" i="2" a="1"/>
  <c r="Q800" i="2" s="1"/>
  <c r="Q948" i="2" a="1"/>
  <c r="Q948" i="2" s="1"/>
  <c r="Q15" i="2" a="1"/>
  <c r="Q15" i="2" s="1"/>
  <c r="Q683" i="2" a="1"/>
  <c r="Q683" i="2" s="1"/>
  <c r="Q460" i="2" a="1"/>
  <c r="Q460" i="2" s="1"/>
  <c r="Q124" i="2" a="1"/>
  <c r="Q124" i="2" s="1"/>
  <c r="Q115" i="2" a="1"/>
  <c r="Q115" i="2" s="1"/>
  <c r="Q634" i="2" a="1"/>
  <c r="Q634" i="2" s="1"/>
  <c r="Q919" i="2" a="1"/>
  <c r="Q919" i="2" s="1"/>
  <c r="Q392" i="2" a="1"/>
  <c r="Q392" i="2" s="1"/>
  <c r="Q528" i="2" a="1"/>
  <c r="Q528" i="2" s="1"/>
  <c r="Q938" i="2" a="1"/>
  <c r="Q938" i="2" s="1"/>
  <c r="Q258" i="2" a="1"/>
  <c r="Q258" i="2" s="1"/>
  <c r="Q732" i="2" a="1"/>
  <c r="Q732" i="2" s="1"/>
  <c r="Q852" i="2" a="1"/>
  <c r="Q852" i="2" s="1"/>
  <c r="Q165" i="2" a="1"/>
  <c r="Q165" i="2" s="1"/>
  <c r="Q331" i="2" a="1"/>
  <c r="Q331" i="2" s="1"/>
  <c r="Q248" i="2" a="1"/>
  <c r="Q248" i="2" s="1"/>
  <c r="Q667" i="2" a="1"/>
  <c r="Q667" i="2" s="1"/>
  <c r="Q356" i="2" a="1"/>
  <c r="Q356" i="2" s="1"/>
  <c r="Q491" i="2" a="1"/>
  <c r="Q491" i="2" s="1"/>
  <c r="Q692" i="2" a="1"/>
  <c r="Q692" i="2" s="1"/>
  <c r="Q219" i="2" a="1"/>
  <c r="Q219" i="2" s="1"/>
  <c r="Q2" i="2" a="1"/>
  <c r="Q2" i="2" s="1"/>
  <c r="Q301" i="2" a="1"/>
  <c r="Q301" i="2" s="1"/>
  <c r="Q697" i="2" a="1"/>
  <c r="Q697" i="2" s="1"/>
  <c r="Q727" i="2" a="1"/>
  <c r="Q727" i="2" s="1"/>
  <c r="Q380" i="2" a="1"/>
  <c r="Q380" i="2" s="1"/>
  <c r="Q583" i="2" a="1"/>
  <c r="Q583" i="2" s="1"/>
  <c r="Q965" i="2" a="1"/>
  <c r="Q965" i="2" s="1"/>
  <c r="Q717" i="2" a="1"/>
  <c r="Q717" i="2" s="1"/>
  <c r="Q964" i="2" a="1"/>
  <c r="Q964" i="2" s="1"/>
  <c r="Q444" i="2" a="1"/>
  <c r="Q444" i="2" s="1"/>
  <c r="Q241" i="2" a="1"/>
  <c r="Q241" i="2" s="1"/>
  <c r="Q493" i="2" a="1"/>
  <c r="Q493" i="2" s="1"/>
  <c r="Q8" i="2" a="1"/>
  <c r="Q8" i="2" s="1"/>
  <c r="Q144" i="2" a="1"/>
  <c r="Q144" i="2" s="1"/>
  <c r="Q871" i="2" a="1"/>
  <c r="Q871" i="2" s="1"/>
  <c r="Q347" i="2" a="1"/>
  <c r="Q347" i="2" s="1"/>
  <c r="Q876" i="2" a="1"/>
  <c r="Q876" i="2" s="1"/>
  <c r="Q374" i="2" a="1"/>
  <c r="Q374" i="2" s="1"/>
  <c r="Q714" i="2" a="1"/>
  <c r="Q714" i="2" s="1"/>
  <c r="Q878" i="2" a="1"/>
  <c r="Q878" i="2" s="1"/>
  <c r="Q810" i="2" a="1"/>
  <c r="Q810" i="2" s="1"/>
  <c r="Q765" i="2" a="1"/>
  <c r="Q765" i="2" s="1"/>
  <c r="Q763" i="2" a="1"/>
  <c r="Q763" i="2" s="1"/>
  <c r="Q891" i="2" a="1"/>
  <c r="Q891" i="2" s="1"/>
  <c r="Q126" i="2" a="1"/>
  <c r="Q126" i="2" s="1"/>
  <c r="Q358" i="2" a="1"/>
  <c r="Q358" i="2" s="1"/>
  <c r="Q857" i="2" a="1"/>
  <c r="Q857" i="2" s="1"/>
  <c r="Q263" i="2" a="1"/>
  <c r="Q263" i="2" s="1"/>
  <c r="Q485" i="2" a="1"/>
  <c r="Q485" i="2" s="1"/>
  <c r="Q309" i="2" a="1"/>
  <c r="Q309" i="2" s="1"/>
  <c r="Q211" i="2" a="1"/>
  <c r="Q211" i="2" s="1"/>
  <c r="Q538" i="2" a="1"/>
  <c r="Q538" i="2" s="1"/>
  <c r="Q168" i="2" a="1"/>
  <c r="Q168" i="2" s="1"/>
  <c r="Q689" i="2" a="1"/>
  <c r="Q689" i="2" s="1"/>
  <c r="Q419" i="2" a="1"/>
  <c r="Q419" i="2" s="1"/>
  <c r="Q139" i="2" a="1"/>
  <c r="Q139" i="2" s="1"/>
  <c r="Q676" i="2" a="1"/>
  <c r="Q676" i="2" s="1"/>
  <c r="Q359" i="2" a="1"/>
  <c r="Q359" i="2" s="1"/>
  <c r="Q397" i="2" a="1"/>
  <c r="Q397" i="2" s="1"/>
  <c r="Q778" i="2" a="1"/>
  <c r="Q778" i="2" s="1"/>
  <c r="Q91" i="2" a="1"/>
  <c r="Q91" i="2" s="1"/>
  <c r="Q881" i="2" a="1"/>
  <c r="Q881" i="2" s="1"/>
  <c r="Q384" i="2" a="1"/>
  <c r="Q384" i="2" s="1"/>
  <c r="Q927" i="2" a="1"/>
  <c r="Q927" i="2" s="1"/>
  <c r="Q253" i="2" a="1"/>
  <c r="Q253" i="2" s="1"/>
  <c r="Q899" i="2" a="1"/>
  <c r="Q899" i="2" s="1"/>
  <c r="Q600" i="2" a="1"/>
  <c r="Q600" i="2" s="1"/>
  <c r="Q797" i="2" a="1"/>
  <c r="Q797" i="2" s="1"/>
  <c r="Q675" i="2" a="1"/>
  <c r="Q675" i="2" s="1"/>
  <c r="Q401" i="2" a="1"/>
  <c r="Q401" i="2" s="1"/>
  <c r="Q176" i="2" a="1"/>
  <c r="Q176" i="2" s="1"/>
  <c r="Q280" i="2" a="1"/>
  <c r="Q280" i="2" s="1"/>
  <c r="Q742" i="2" a="1"/>
  <c r="Q742" i="2" s="1"/>
  <c r="R468" i="2"/>
  <c r="R720" i="2"/>
  <c r="R251" i="2"/>
  <c r="R502" i="2"/>
  <c r="R915" i="2"/>
  <c r="R133" i="2"/>
  <c r="R514" i="2"/>
  <c r="R864" i="2"/>
  <c r="R662" i="2"/>
  <c r="R693" i="2"/>
  <c r="R434" i="2"/>
  <c r="R172" i="2"/>
  <c r="R78" i="2"/>
  <c r="R82" i="2"/>
  <c r="R544" i="2"/>
  <c r="R801" i="2"/>
  <c r="R882" i="2"/>
  <c r="R62" i="2"/>
  <c r="R928" i="2"/>
  <c r="R474" i="2"/>
  <c r="R613" i="2"/>
  <c r="R983" i="2"/>
  <c r="R409" i="2"/>
  <c r="R353" i="2"/>
  <c r="R575" i="2"/>
  <c r="R212" i="2"/>
  <c r="R598" i="2"/>
  <c r="R946" i="2"/>
  <c r="R638" i="2"/>
  <c r="R685" i="2"/>
  <c r="R160" i="2"/>
  <c r="R352" i="2"/>
  <c r="R808" i="2"/>
  <c r="R223" i="2"/>
  <c r="R447" i="2"/>
  <c r="R854" i="2"/>
  <c r="R336" i="2"/>
  <c r="R825" i="2"/>
  <c r="R929" i="2"/>
  <c r="R440" i="2"/>
  <c r="R539" i="2"/>
  <c r="R17" i="2"/>
  <c r="R120" i="2"/>
  <c r="R109" i="2"/>
  <c r="R114" i="2"/>
  <c r="R542" i="2"/>
  <c r="R355" i="2"/>
  <c r="R617" i="2"/>
  <c r="R58" i="2"/>
  <c r="R200" i="2"/>
  <c r="R405" i="2"/>
  <c r="R187" i="2"/>
  <c r="R595" i="2"/>
  <c r="R975" i="2"/>
  <c r="R238" i="2"/>
  <c r="R399" i="2"/>
  <c r="R458" i="2"/>
  <c r="R521" i="2"/>
  <c r="R298" i="2"/>
  <c r="R339" i="2"/>
  <c r="R222" i="2"/>
  <c r="R488" i="2"/>
  <c r="R650" i="2"/>
  <c r="R465" i="2"/>
  <c r="R563" i="2"/>
  <c r="R981" i="2"/>
  <c r="R410" i="2"/>
  <c r="R31" i="2"/>
  <c r="R694" i="2"/>
  <c r="R415" i="2"/>
  <c r="R540" i="2"/>
  <c r="R467" i="2"/>
  <c r="R344" i="2"/>
  <c r="R573" i="2"/>
  <c r="R38" i="2"/>
  <c r="R90" i="2"/>
  <c r="R974" i="2"/>
  <c r="R177" i="2"/>
  <c r="R902" i="2"/>
  <c r="R984" i="2"/>
  <c r="R175" i="2"/>
  <c r="R32" i="2"/>
  <c r="R775" i="2"/>
  <c r="R628" i="2"/>
  <c r="R157" i="2"/>
  <c r="R77" i="2"/>
  <c r="R559" i="2"/>
  <c r="R618" i="2"/>
  <c r="R155" i="2"/>
  <c r="R256" i="2"/>
  <c r="R26" i="2"/>
  <c r="R690" i="2"/>
  <c r="R779" i="2"/>
  <c r="R966" i="2"/>
  <c r="R817" i="2"/>
  <c r="R833" i="2"/>
  <c r="R818" i="2"/>
  <c r="R791" i="2"/>
  <c r="R777" i="2"/>
  <c r="R271" i="2"/>
  <c r="R522" i="2"/>
  <c r="R561" i="2"/>
  <c r="R323" i="2"/>
  <c r="R326" i="2"/>
  <c r="R104" i="2"/>
  <c r="R423" i="2"/>
  <c r="R391" i="2"/>
  <c r="R900" i="2"/>
  <c r="R604" i="2"/>
  <c r="R699" i="2"/>
  <c r="R402" i="2"/>
  <c r="R239" i="2"/>
  <c r="R327" i="2"/>
  <c r="R111" i="2"/>
  <c r="R663" i="2"/>
  <c r="R50" i="2"/>
  <c r="R335" i="2"/>
  <c r="R377" i="2"/>
  <c r="R19" i="2"/>
  <c r="R237" i="2"/>
  <c r="R213" i="2"/>
  <c r="R443" i="2"/>
  <c r="R624" i="2"/>
  <c r="R979" i="2"/>
  <c r="R162" i="2"/>
  <c r="R523" i="2"/>
  <c r="R787" i="2"/>
  <c r="R506" i="2"/>
  <c r="R985" i="2"/>
  <c r="R701" i="2"/>
  <c r="R441" i="2"/>
  <c r="R569" i="2"/>
  <c r="R768" i="2"/>
  <c r="R267" i="2"/>
  <c r="R250" i="2"/>
  <c r="R586" i="2"/>
  <c r="R321" i="2"/>
  <c r="R27" i="2"/>
  <c r="R42" i="2"/>
  <c r="R783" i="2"/>
  <c r="R314" i="2"/>
  <c r="R668" i="2"/>
  <c r="R607" i="2"/>
  <c r="R84" i="2"/>
  <c r="R233" i="2"/>
  <c r="R148" i="2"/>
  <c r="R806" i="2"/>
  <c r="R620" i="2"/>
  <c r="R216" i="2"/>
  <c r="R375" i="2"/>
  <c r="R664" i="2"/>
  <c r="R665" i="2"/>
  <c r="R737" i="2"/>
  <c r="R184" i="2"/>
  <c r="R749" i="2"/>
  <c r="R198" i="2"/>
  <c r="R428" i="2"/>
  <c r="R853" i="2"/>
  <c r="R63" i="2"/>
  <c r="R574" i="2"/>
  <c r="R236" i="2"/>
  <c r="R677" i="2"/>
  <c r="R59" i="2"/>
  <c r="R246" i="2"/>
  <c r="R308" i="2"/>
  <c r="R262" i="2"/>
  <c r="R837" i="2"/>
  <c r="R553" i="2"/>
  <c r="R716" i="2"/>
  <c r="R99" i="2"/>
  <c r="R826" i="2"/>
  <c r="R886" i="2"/>
  <c r="R220" i="2"/>
  <c r="R354" i="2"/>
  <c r="R639" i="2"/>
  <c r="R691" i="2"/>
  <c r="R387" i="2"/>
  <c r="R875" i="2"/>
  <c r="R363" i="2"/>
  <c r="R261" i="2"/>
  <c r="R550" i="2"/>
  <c r="R535" i="2"/>
  <c r="R976" i="2"/>
  <c r="R712" i="2"/>
  <c r="R453" i="2"/>
  <c r="R393" i="2"/>
  <c r="R180" i="2"/>
  <c r="R912" i="2"/>
  <c r="R711" i="2"/>
  <c r="R232" i="2"/>
  <c r="R294" i="2"/>
  <c r="R427" i="2"/>
  <c r="R424" i="2"/>
  <c r="R439" i="2"/>
  <c r="R295" i="2"/>
  <c r="R117" i="2"/>
  <c r="R555" i="2"/>
  <c r="R255" i="2"/>
  <c r="R320" i="2"/>
  <c r="R92" i="2"/>
  <c r="R570" i="2"/>
  <c r="R847" i="2"/>
  <c r="R636" i="2"/>
  <c r="R313" i="2"/>
  <c r="R644" i="2"/>
  <c r="R240" i="2"/>
  <c r="R286" i="2"/>
  <c r="R310" i="2"/>
  <c r="R877" i="2"/>
  <c r="R704" i="2"/>
  <c r="R18" i="2"/>
  <c r="R673" i="2"/>
  <c r="R376" i="2"/>
  <c r="R940" i="2"/>
  <c r="R319" i="2"/>
  <c r="R340" i="2"/>
  <c r="R802" i="2"/>
  <c r="R224" i="2"/>
  <c r="R931" i="2"/>
  <c r="R486" i="2"/>
  <c r="R85" i="2"/>
  <c r="R653" i="2"/>
  <c r="R909" i="2"/>
  <c r="R281" i="2"/>
  <c r="R872" i="2"/>
  <c r="R300" i="2"/>
  <c r="R166" i="2"/>
  <c r="R703" i="2"/>
  <c r="R898" i="2"/>
  <c r="R107" i="2"/>
  <c r="R619" i="2"/>
  <c r="R454" i="2"/>
  <c r="R626" i="2"/>
  <c r="R541" i="2"/>
  <c r="R529" i="2"/>
  <c r="R44" i="2"/>
  <c r="R207" i="2"/>
  <c r="R450" i="2"/>
  <c r="R333" i="2"/>
  <c r="R606" i="2"/>
  <c r="R678" i="2"/>
  <c r="R954" i="2"/>
  <c r="R893" i="2"/>
  <c r="R546" i="2"/>
  <c r="R492" i="2"/>
  <c r="R178" i="2"/>
  <c r="R879" i="2"/>
  <c r="R625" i="2"/>
  <c r="R840" i="2"/>
  <c r="R596" i="2"/>
  <c r="R874" i="2"/>
  <c r="R307" i="2"/>
  <c r="R830" i="2"/>
  <c r="R422" i="2"/>
  <c r="R83" i="2"/>
  <c r="R112" i="2"/>
  <c r="R803" i="2"/>
  <c r="R274" i="2"/>
  <c r="R903" i="2"/>
  <c r="R102" i="2"/>
  <c r="R907" i="2"/>
  <c r="R705" i="2"/>
  <c r="R602" i="2"/>
  <c r="R193" i="2"/>
  <c r="R955" i="2"/>
  <c r="R655" i="2"/>
  <c r="R759" i="2"/>
  <c r="R641" i="2"/>
  <c r="R982" i="2"/>
  <c r="R489" i="2"/>
  <c r="R12" i="2"/>
  <c r="R435" i="2"/>
  <c r="R762" i="2"/>
  <c r="R421" i="2"/>
  <c r="R769" i="2"/>
  <c r="R206" i="2"/>
  <c r="R958" i="2"/>
  <c r="R316" i="2"/>
  <c r="R793" i="2"/>
  <c r="R657" i="2"/>
  <c r="R760" i="2"/>
  <c r="R532" i="2"/>
  <c r="R774" i="2"/>
  <c r="R834" i="2"/>
  <c r="R681" i="2"/>
  <c r="R13" i="2"/>
  <c r="R383" i="2"/>
  <c r="R381" i="2"/>
  <c r="R980" i="2"/>
  <c r="R72" i="2"/>
  <c r="R518" i="2"/>
  <c r="R225" i="2"/>
  <c r="R218" i="2"/>
  <c r="R69" i="2"/>
  <c r="R784" i="2"/>
  <c r="R43" i="2"/>
  <c r="R947" i="2"/>
  <c r="R158" i="2"/>
  <c r="R55" i="2"/>
  <c r="R740" i="2"/>
  <c r="R725" i="2"/>
  <c r="R449" i="2"/>
  <c r="R299" i="2"/>
  <c r="R130" i="2"/>
  <c r="R556" i="2"/>
  <c r="R659" i="2"/>
  <c r="R337" i="2"/>
  <c r="R33" i="2"/>
  <c r="R446" i="2"/>
  <c r="R338" i="2"/>
  <c r="R398" i="2"/>
  <c r="R670" i="2"/>
  <c r="R970" i="2"/>
  <c r="R131" i="2"/>
  <c r="R679" i="2"/>
  <c r="R566" i="2"/>
  <c r="R908" i="2"/>
  <c r="R868" i="2"/>
  <c r="R880" i="2"/>
  <c r="R197" i="2"/>
  <c r="R151" i="2"/>
  <c r="R498" i="2"/>
  <c r="R786" i="2"/>
  <c r="R277" i="2"/>
  <c r="R482" i="2"/>
  <c r="R536" i="2"/>
  <c r="R588" i="2"/>
  <c r="R292" i="2"/>
  <c r="R728" i="2"/>
  <c r="R952" i="2"/>
  <c r="R971" i="2"/>
  <c r="R100" i="2"/>
  <c r="R758" i="2"/>
  <c r="R524" i="2"/>
  <c r="R243" i="2"/>
  <c r="R858" i="2"/>
  <c r="R724" i="2"/>
  <c r="R719" i="2"/>
  <c r="R590" i="2"/>
  <c r="R268" i="2"/>
  <c r="R226" i="2"/>
  <c r="R608" i="2"/>
  <c r="R494" i="2"/>
  <c r="R288" i="2"/>
  <c r="R548" i="2"/>
  <c r="R916" i="2"/>
  <c r="R21" i="2"/>
  <c r="R275" i="2"/>
  <c r="R89" i="2"/>
  <c r="R418" i="2"/>
  <c r="R127" i="2"/>
  <c r="R247" i="2"/>
  <c r="R510" i="2"/>
  <c r="R816" i="2"/>
  <c r="R978" i="2"/>
  <c r="R365" i="2"/>
  <c r="R159" i="2"/>
  <c r="R217" i="2"/>
  <c r="R463" i="2"/>
  <c r="R888" i="2"/>
  <c r="R388" i="2"/>
  <c r="R827" i="2"/>
  <c r="R113" i="2"/>
  <c r="R138" i="2"/>
  <c r="R792" i="2"/>
  <c r="R430" i="2"/>
  <c r="R684" i="2"/>
  <c r="R751" i="2"/>
  <c r="R181" i="2"/>
  <c r="R329" i="2"/>
  <c r="R543" i="2"/>
  <c r="R143" i="2"/>
  <c r="R950" i="2"/>
  <c r="R578" i="2"/>
  <c r="R10" i="2"/>
  <c r="R179" i="2"/>
  <c r="R560" i="2"/>
  <c r="R244" i="2"/>
  <c r="R29" i="2"/>
  <c r="R686" i="2"/>
  <c r="R661" i="2"/>
  <c r="R738" i="2"/>
  <c r="R671" i="2"/>
  <c r="R324" i="2"/>
  <c r="R813" i="2"/>
  <c r="R61" i="2"/>
  <c r="R537" i="2"/>
  <c r="R520" i="2"/>
  <c r="R455" i="2"/>
  <c r="R788" i="2"/>
  <c r="R821" i="2"/>
  <c r="R773" i="2"/>
  <c r="R582" i="2"/>
  <c r="R45" i="2"/>
  <c r="R756" i="2"/>
  <c r="R97" i="2"/>
  <c r="R332" i="2"/>
  <c r="R471" i="2"/>
  <c r="R110" i="2"/>
  <c r="R252" i="2"/>
  <c r="R472" i="2"/>
  <c r="R432" i="2"/>
  <c r="R396" i="2"/>
  <c r="R431" i="2"/>
  <c r="R404" i="2"/>
  <c r="R153" i="2"/>
  <c r="R972" i="2"/>
  <c r="R507" i="2"/>
  <c r="R726" i="2"/>
  <c r="R780" i="2"/>
  <c r="R807" i="2"/>
  <c r="R291" i="2"/>
  <c r="R637" i="2"/>
  <c r="R503" i="2"/>
  <c r="R386" i="2"/>
  <c r="R357" i="2"/>
  <c r="R11" i="2"/>
  <c r="R645" i="2"/>
  <c r="R696" i="2"/>
  <c r="R789" i="2"/>
  <c r="R687" i="2"/>
  <c r="R932" i="2"/>
  <c r="R831" i="2"/>
  <c r="R73" i="2"/>
  <c r="R499" i="2"/>
  <c r="R39" i="2"/>
  <c r="R204" i="2"/>
  <c r="R433" i="2"/>
  <c r="R961" i="2"/>
  <c r="R128" i="2"/>
  <c r="R318" i="2"/>
  <c r="R378" i="2"/>
  <c r="R437" i="2"/>
  <c r="R96" i="2"/>
  <c r="R150" i="2"/>
  <c r="R416" i="2"/>
  <c r="R199" i="2"/>
  <c r="R622" i="2"/>
  <c r="R656" i="2"/>
  <c r="R195" i="2"/>
  <c r="R406" i="2"/>
  <c r="R317" i="2"/>
  <c r="R911" i="2"/>
  <c r="R844" i="2"/>
  <c r="R917" i="2"/>
  <c r="R977" i="2"/>
  <c r="R577" i="2"/>
  <c r="R680" i="2"/>
  <c r="R892" i="2"/>
  <c r="R811" i="2"/>
  <c r="R30" i="2"/>
  <c r="R270" i="2"/>
  <c r="R264" i="2"/>
  <c r="R305" i="2"/>
  <c r="R841" i="2"/>
  <c r="R752" i="2"/>
  <c r="R603" i="2"/>
  <c r="R79" i="2"/>
  <c r="R48" i="2"/>
  <c r="R413" i="2"/>
  <c r="R715" i="2"/>
  <c r="R531" i="2"/>
  <c r="R770" i="2"/>
  <c r="R348" i="2"/>
  <c r="R466" i="2"/>
  <c r="R848" i="2"/>
  <c r="R407" i="2"/>
  <c r="R129" i="2"/>
  <c r="R905" i="2"/>
  <c r="R794" i="2"/>
  <c r="R390" i="2"/>
  <c r="R819" i="2"/>
  <c r="R648" i="2"/>
  <c r="R429" i="2"/>
  <c r="R210" i="2"/>
  <c r="R278" i="2"/>
  <c r="R764" i="2"/>
  <c r="R913" i="2"/>
  <c r="R700" i="2"/>
  <c r="R304" i="2"/>
  <c r="R949" i="2"/>
  <c r="R230" i="2"/>
  <c r="R782" i="2"/>
  <c r="R490" i="2"/>
  <c r="R739" i="2"/>
  <c r="R747" i="2"/>
  <c r="R959" i="2"/>
  <c r="R49" i="2"/>
  <c r="R273" i="2"/>
  <c r="R736" i="2"/>
  <c r="R167" i="2"/>
  <c r="R849" i="2"/>
  <c r="R753" i="2"/>
  <c r="R163" i="2"/>
  <c r="R554" i="2"/>
  <c r="R533" i="2"/>
  <c r="R60" i="2"/>
  <c r="R963" i="2"/>
  <c r="R315" i="2"/>
  <c r="R469" i="2"/>
  <c r="R170" i="2"/>
  <c r="R580" i="2"/>
  <c r="R98" i="2"/>
  <c r="R342" i="2"/>
  <c r="R349" i="2"/>
  <c r="R478" i="2"/>
  <c r="R235" i="2"/>
  <c r="R654" i="2"/>
  <c r="R487" i="2"/>
  <c r="R345" i="2"/>
  <c r="R568" i="2"/>
  <c r="R328" i="2"/>
  <c r="R456" i="2"/>
  <c r="R330" i="2"/>
  <c r="R901" i="2"/>
  <c r="R968" i="2"/>
  <c r="R632" i="2"/>
  <c r="R688" i="2"/>
  <c r="R276" i="2"/>
  <c r="R850" i="2"/>
  <c r="R149" i="2"/>
  <c r="R842" i="2"/>
  <c r="R935" i="2"/>
  <c r="R572" i="2"/>
  <c r="R519" i="2"/>
  <c r="R642" i="2"/>
  <c r="R448" i="2"/>
  <c r="R484" i="2"/>
  <c r="R941" i="2"/>
  <c r="R729" i="2"/>
  <c r="R922" i="2"/>
  <c r="R146" i="2"/>
  <c r="R646" i="2"/>
  <c r="R860" i="2"/>
  <c r="R772" i="2"/>
  <c r="R925" i="2"/>
  <c r="R182" i="2"/>
  <c r="R567" i="2"/>
  <c r="R289" i="2"/>
  <c r="R633" i="2"/>
  <c r="R209" i="2"/>
  <c r="R745" i="2"/>
  <c r="R591" i="2"/>
  <c r="R552" i="2"/>
  <c r="R790" i="2"/>
  <c r="R748" i="2"/>
  <c r="R227" i="2"/>
  <c r="R395" i="2"/>
  <c r="R445" i="2"/>
  <c r="R290" i="2"/>
  <c r="R64" i="2"/>
  <c r="R957" i="2"/>
  <c r="R145" i="2"/>
  <c r="R973" i="2"/>
  <c r="R962" i="2"/>
  <c r="R254" i="2"/>
  <c r="R459" i="2"/>
  <c r="R812" i="2"/>
  <c r="R412" i="2"/>
  <c r="R884" i="2"/>
  <c r="R527" i="2"/>
  <c r="R196" i="2"/>
  <c r="R334" i="2"/>
  <c r="R631" i="2"/>
  <c r="R651" i="2"/>
  <c r="R669" i="2"/>
  <c r="R394" i="2"/>
  <c r="R967" i="2"/>
  <c r="R360" i="2"/>
  <c r="R828" i="2"/>
  <c r="R623" i="2"/>
  <c r="R461" i="2"/>
  <c r="R722" i="2"/>
  <c r="R408" i="2"/>
  <c r="R156" i="2"/>
  <c r="R125" i="2"/>
  <c r="R306" i="2"/>
  <c r="R621" i="2"/>
  <c r="R885" i="2"/>
  <c r="R6" i="2"/>
  <c r="R57" i="2"/>
  <c r="R551" i="2"/>
  <c r="R545" i="2"/>
  <c r="R205" i="2"/>
  <c r="R820" i="2"/>
  <c r="R757" i="2"/>
  <c r="R41" i="2"/>
  <c r="R260" i="2"/>
  <c r="R479" i="2"/>
  <c r="R245" i="2"/>
  <c r="R369" i="2"/>
  <c r="R895" i="2"/>
  <c r="R67" i="2"/>
  <c r="R169" i="2"/>
  <c r="R682" i="2"/>
  <c r="R921" i="2"/>
  <c r="R287" i="2"/>
  <c r="R362" i="2"/>
  <c r="R311" i="2"/>
  <c r="R593" i="2"/>
  <c r="R34" i="2"/>
  <c r="R20" i="2"/>
  <c r="R259" i="2"/>
  <c r="R147" i="2"/>
  <c r="R951" i="2"/>
  <c r="R188" i="2"/>
  <c r="R495" i="2"/>
  <c r="R956" i="2"/>
  <c r="R451" i="2"/>
  <c r="R266" i="2"/>
  <c r="R282" i="2"/>
  <c r="R713" i="2"/>
  <c r="R80" i="2"/>
  <c r="R750" i="2"/>
  <c r="R627" i="2"/>
  <c r="R599" i="2"/>
  <c r="R343" i="2"/>
  <c r="R730" i="2"/>
  <c r="R823" i="2"/>
  <c r="R285" i="2"/>
  <c r="R364" i="2"/>
  <c r="R939" i="2"/>
  <c r="R594" i="2"/>
  <c r="R614" i="2"/>
  <c r="R297" i="2"/>
  <c r="R859" i="2"/>
  <c r="R420" i="2"/>
  <c r="R302" i="2"/>
  <c r="R202" i="2"/>
  <c r="R525" i="2"/>
  <c r="R505" i="2"/>
  <c r="R183" i="2"/>
  <c r="R284" i="2"/>
  <c r="R835" i="2"/>
  <c r="R658" i="2"/>
  <c r="R51" i="2"/>
  <c r="R249" i="2"/>
  <c r="R372" i="2"/>
  <c r="R894" i="2"/>
  <c r="R379" i="2"/>
  <c r="R851" i="2"/>
  <c r="R293" i="2"/>
  <c r="R373" i="2"/>
  <c r="R436" i="2"/>
  <c r="R914" i="2"/>
  <c r="R40" i="2"/>
  <c r="R707" i="2"/>
  <c r="R400" i="2"/>
  <c r="R283" i="2"/>
  <c r="R36" i="2"/>
  <c r="R370" i="2"/>
  <c r="R25" i="2"/>
  <c r="R28" i="2"/>
  <c r="R666" i="2"/>
  <c r="R65" i="2"/>
  <c r="R476" i="2"/>
  <c r="R920" i="2"/>
  <c r="R464" i="2"/>
  <c r="R185" i="2"/>
  <c r="R186" i="2"/>
  <c r="R755" i="2"/>
  <c r="R721" i="2"/>
  <c r="R350" i="2"/>
  <c r="R483" i="2"/>
  <c r="R652" i="2"/>
  <c r="R766" i="2"/>
  <c r="R896" i="2"/>
  <c r="R414" i="2"/>
  <c r="R497" i="2"/>
  <c r="R470" i="2"/>
  <c r="R562" i="2"/>
  <c r="R366" i="2"/>
  <c r="R389" i="2"/>
  <c r="R649" i="2"/>
  <c r="R37" i="2"/>
  <c r="R417" i="2"/>
  <c r="R367" i="2"/>
  <c r="R325" i="2"/>
  <c r="R475" i="2"/>
  <c r="R346" i="2"/>
  <c r="R945" i="2"/>
  <c r="R616" i="2"/>
  <c r="R142" i="2"/>
  <c r="R741" i="2"/>
  <c r="R194" i="2"/>
  <c r="R585" i="2"/>
  <c r="R322" i="2"/>
  <c r="R341" i="2"/>
  <c r="R796" i="2"/>
  <c r="R75" i="2"/>
  <c r="R68" i="2"/>
  <c r="R86" i="2"/>
  <c r="R709" i="2"/>
  <c r="R723" i="2"/>
  <c r="R923" i="2"/>
  <c r="R918" i="2"/>
  <c r="R589" i="2"/>
  <c r="R135" i="2"/>
  <c r="R442" i="2"/>
  <c r="R93" i="2"/>
  <c r="R457" i="2"/>
  <c r="R530" i="2"/>
  <c r="R189" i="2"/>
  <c r="R214" i="2"/>
  <c r="R361" i="2"/>
  <c r="R571" i="2"/>
  <c r="R508" i="2"/>
  <c r="R24" i="2"/>
  <c r="R855" i="2"/>
  <c r="R734" i="2"/>
  <c r="R838" i="2"/>
  <c r="R473" i="2"/>
  <c r="R382" i="2"/>
  <c r="R581" i="2"/>
  <c r="R504" i="2"/>
  <c r="R795" i="2"/>
  <c r="R735" i="2"/>
  <c r="R190" i="2"/>
  <c r="R870" i="2"/>
  <c r="R969" i="2"/>
  <c r="R832" i="2"/>
  <c r="R809" i="2"/>
  <c r="R733" i="2"/>
  <c r="R936" i="2"/>
  <c r="R781" i="2"/>
  <c r="R785" i="2"/>
  <c r="R565" i="2"/>
  <c r="R635" i="2"/>
  <c r="R587" i="2"/>
  <c r="R517" i="2"/>
  <c r="R7" i="2"/>
  <c r="R74" i="2"/>
  <c r="R66" i="2"/>
  <c r="R516" i="2"/>
  <c r="R843" i="2"/>
  <c r="R201" i="2"/>
  <c r="R154" i="2"/>
  <c r="R889" i="2"/>
  <c r="R500" i="2"/>
  <c r="R814" i="2"/>
  <c r="R798" i="2"/>
  <c r="R173" i="2"/>
  <c r="R22" i="2"/>
  <c r="R228" i="2"/>
  <c r="R761" i="2"/>
  <c r="R481" i="2"/>
  <c r="R95" i="2"/>
  <c r="R557" i="2"/>
  <c r="R910" i="2"/>
  <c r="R242" i="2"/>
  <c r="R46" i="2"/>
  <c r="R191" i="2"/>
  <c r="R861" i="2"/>
  <c r="R221" i="2"/>
  <c r="R208" i="2"/>
  <c r="R103" i="2"/>
  <c r="R839" i="2"/>
  <c r="R14" i="2"/>
  <c r="R513" i="2"/>
  <c r="R122" i="2"/>
  <c r="R856" i="2"/>
  <c r="R706" i="2"/>
  <c r="R312" i="2"/>
  <c r="R121" i="2"/>
  <c r="R904" i="2"/>
  <c r="R511" i="2"/>
  <c r="R610" i="2"/>
  <c r="R836" i="2"/>
  <c r="R924" i="2"/>
  <c r="R579" i="2"/>
  <c r="R269" i="2"/>
  <c r="R934" i="2"/>
  <c r="R296" i="2"/>
  <c r="R601" i="2"/>
  <c r="R452" i="2"/>
  <c r="R368" i="2"/>
  <c r="R140" i="2"/>
  <c r="R4" i="2"/>
  <c r="R937" i="2"/>
  <c r="R16" i="2"/>
  <c r="R425" i="2"/>
  <c r="R564" i="2"/>
  <c r="R462" i="2"/>
  <c r="R799" i="2"/>
  <c r="R771" i="2"/>
  <c r="R152" i="2"/>
  <c r="R846" i="2"/>
  <c r="R865" i="2"/>
  <c r="R824" i="2"/>
  <c r="R754" i="2"/>
  <c r="R629" i="2"/>
  <c r="R403" i="2"/>
  <c r="R744" i="2"/>
  <c r="R906" i="2"/>
  <c r="R137" i="2"/>
  <c r="R512" i="2"/>
  <c r="R71" i="2"/>
  <c r="R960" i="2"/>
  <c r="R52" i="2"/>
  <c r="R926" i="2"/>
  <c r="R9" i="2"/>
  <c r="R862" i="2"/>
  <c r="R3" i="2"/>
  <c r="R710" i="2"/>
  <c r="R933" i="2"/>
  <c r="R88" i="2"/>
  <c r="R118" i="2"/>
  <c r="R845" i="2"/>
  <c r="R477" i="2"/>
  <c r="R611" i="2"/>
  <c r="R5" i="2"/>
  <c r="R87" i="2"/>
  <c r="R265" i="2"/>
  <c r="R612" i="2"/>
  <c r="R116" i="2"/>
  <c r="R592" i="2"/>
  <c r="R943" i="2"/>
  <c r="R890" i="2"/>
  <c r="R279" i="2"/>
  <c r="R660" i="2"/>
  <c r="R630" i="2"/>
  <c r="R549" i="2"/>
  <c r="R136" i="2"/>
  <c r="R174" i="2"/>
  <c r="R829" i="2"/>
  <c r="R869" i="2"/>
  <c r="R203" i="2"/>
  <c r="R873" i="2"/>
  <c r="R822" i="2"/>
  <c r="R815" i="2"/>
  <c r="R534" i="2"/>
  <c r="R930" i="2"/>
  <c r="R605" i="2"/>
  <c r="R257" i="2"/>
  <c r="R132" i="2"/>
  <c r="R134" i="2"/>
  <c r="R515" i="2"/>
  <c r="R231" i="2"/>
  <c r="R164" i="2"/>
  <c r="R171" i="2"/>
  <c r="R215" i="2"/>
  <c r="R897" i="2"/>
  <c r="R942" i="2"/>
  <c r="R47" i="2"/>
  <c r="R501" i="2"/>
  <c r="R141" i="2"/>
  <c r="R609" i="2"/>
  <c r="R866" i="2"/>
  <c r="R76" i="2"/>
  <c r="R426" i="2"/>
  <c r="R698" i="2"/>
  <c r="R731" i="2"/>
  <c r="R371" i="2"/>
  <c r="R438" i="2"/>
  <c r="R558" i="2"/>
  <c r="R672" i="2"/>
  <c r="R643" i="2"/>
  <c r="R863" i="2"/>
  <c r="R805" i="2"/>
  <c r="R674" i="2"/>
  <c r="R54" i="2"/>
  <c r="R615" i="2"/>
  <c r="R81" i="2"/>
  <c r="R695" i="2"/>
  <c r="R106" i="2"/>
  <c r="R953" i="2"/>
  <c r="R576" i="2"/>
  <c r="R496" i="2"/>
  <c r="R867" i="2"/>
  <c r="R804" i="2"/>
  <c r="R746" i="2"/>
  <c r="R743" i="2"/>
  <c r="R119" i="2"/>
  <c r="R776" i="2"/>
  <c r="R547" i="2"/>
  <c r="R35" i="2"/>
  <c r="R101" i="2"/>
  <c r="R718" i="2"/>
  <c r="R105" i="2"/>
  <c r="R708" i="2"/>
  <c r="R944" i="2"/>
  <c r="R584" i="2"/>
  <c r="R272" i="2"/>
  <c r="R192" i="2"/>
  <c r="R303" i="2"/>
  <c r="R526" i="2"/>
  <c r="R351" i="2"/>
  <c r="R53" i="2"/>
  <c r="R161" i="2"/>
  <c r="R385" i="2"/>
  <c r="R480" i="2"/>
  <c r="R23" i="2"/>
  <c r="R883" i="2"/>
  <c r="R702" i="2"/>
  <c r="R887" i="2"/>
  <c r="R70" i="2"/>
  <c r="R411" i="2"/>
  <c r="R647" i="2"/>
  <c r="R640" i="2"/>
  <c r="R123" i="2"/>
  <c r="R108" i="2"/>
  <c r="R597" i="2"/>
  <c r="R234" i="2"/>
  <c r="R767" i="2"/>
  <c r="R509" i="2"/>
  <c r="R56" i="2"/>
  <c r="R229" i="2"/>
  <c r="R94" i="2"/>
  <c r="R800" i="2"/>
  <c r="R948" i="2"/>
  <c r="R15" i="2"/>
  <c r="R683" i="2"/>
  <c r="R460" i="2"/>
  <c r="R124" i="2"/>
  <c r="R115" i="2"/>
  <c r="R634" i="2"/>
  <c r="R919" i="2"/>
  <c r="R392" i="2"/>
  <c r="R528" i="2"/>
  <c r="R938" i="2"/>
  <c r="R258" i="2"/>
  <c r="R732" i="2"/>
  <c r="R852" i="2"/>
  <c r="R165" i="2"/>
  <c r="R331" i="2"/>
  <c r="R248" i="2"/>
  <c r="R667" i="2"/>
  <c r="R356" i="2"/>
  <c r="R491" i="2"/>
  <c r="R692" i="2"/>
  <c r="R219" i="2"/>
  <c r="R2" i="2"/>
  <c r="R301" i="2"/>
  <c r="R697" i="2"/>
  <c r="R727" i="2"/>
  <c r="R380" i="2"/>
  <c r="R583" i="2"/>
  <c r="R965" i="2"/>
  <c r="R717" i="2"/>
  <c r="R964" i="2"/>
  <c r="R444" i="2"/>
  <c r="R241" i="2"/>
  <c r="R493" i="2"/>
  <c r="R8" i="2"/>
  <c r="R144" i="2"/>
  <c r="R871" i="2"/>
  <c r="R347" i="2"/>
  <c r="R876" i="2"/>
  <c r="R374" i="2"/>
  <c r="R714" i="2"/>
  <c r="R878" i="2"/>
  <c r="R810" i="2"/>
  <c r="R765" i="2"/>
  <c r="R763" i="2"/>
  <c r="R891" i="2"/>
  <c r="R126" i="2"/>
  <c r="R358" i="2"/>
  <c r="R857" i="2"/>
  <c r="R263" i="2"/>
  <c r="R485" i="2"/>
  <c r="R309" i="2"/>
  <c r="R211" i="2"/>
  <c r="R538" i="2"/>
  <c r="R168" i="2"/>
  <c r="R689" i="2"/>
  <c r="R419" i="2"/>
  <c r="R139" i="2"/>
  <c r="R676" i="2"/>
  <c r="R359" i="2"/>
  <c r="R397" i="2"/>
  <c r="R778" i="2"/>
  <c r="R91" i="2"/>
  <c r="R881" i="2"/>
  <c r="R384" i="2"/>
  <c r="R927" i="2"/>
  <c r="R253" i="2"/>
  <c r="R899" i="2"/>
  <c r="R600" i="2"/>
  <c r="R797" i="2"/>
  <c r="R675" i="2"/>
  <c r="R401" i="2"/>
  <c r="R176" i="2"/>
  <c r="R280" i="2"/>
  <c r="R742" i="2"/>
  <c r="M991" i="2"/>
  <c r="M992" i="2" s="1"/>
  <c r="N987" i="2"/>
  <c r="O988" i="2"/>
  <c r="C989" i="2"/>
  <c r="K987" i="2" s="1"/>
  <c r="L98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A1F770-8FF0-443B-88A6-20EC03963A9C}" keepAlive="1" name="Query - Hospital Patient" description="Connection to the 'Hospital Patient' query in the workbook." type="5" refreshedVersion="8" background="1" saveData="1">
    <dbPr connection="Provider=Microsoft.Mashup.OleDb.1;Data Source=$Workbook$;Location=&quot;Hospital Patient&quot;;Extended Properties=&quot;&quot;" command="SELECT * FROM [Hospital Patie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<sst xmlns="http://schemas.openxmlformats.org/spreadsheetml/2006/main" count="7023" uniqueCount="104">
  <si>
    <t>Patient_ID</t>
  </si>
  <si>
    <t>Age</t>
  </si>
  <si>
    <t>Gender</t>
  </si>
  <si>
    <t>Condition</t>
  </si>
  <si>
    <t xml:space="preserve">Medication </t>
  </si>
  <si>
    <t>Admission_Date</t>
  </si>
  <si>
    <t>Discharge_Date</t>
  </si>
  <si>
    <t>Patient_State</t>
  </si>
  <si>
    <t>Year_of_Admission</t>
  </si>
  <si>
    <t>Length_of_Stay</t>
  </si>
  <si>
    <t>Readmission</t>
  </si>
  <si>
    <t>Outcome</t>
  </si>
  <si>
    <t>Satisfaction</t>
  </si>
  <si>
    <t>Insurance_Claimed</t>
  </si>
  <si>
    <t>Total_Cost</t>
  </si>
  <si>
    <t>Female</t>
  </si>
  <si>
    <t>Heart Disease</t>
  </si>
  <si>
    <t>Angioplasty</t>
  </si>
  <si>
    <t>Kerala</t>
  </si>
  <si>
    <t>No</t>
  </si>
  <si>
    <t>Recovered</t>
  </si>
  <si>
    <t>Yes</t>
  </si>
  <si>
    <t>Male</t>
  </si>
  <si>
    <t>Diabetes</t>
  </si>
  <si>
    <t>Insulin Therapy</t>
  </si>
  <si>
    <t>Goa</t>
  </si>
  <si>
    <t>Stable</t>
  </si>
  <si>
    <t>Fractured Arm</t>
  </si>
  <si>
    <t>X-Ray And Splint</t>
  </si>
  <si>
    <t>Maharastra</t>
  </si>
  <si>
    <t>Stroke</t>
  </si>
  <si>
    <t>Ct Scan And Medication</t>
  </si>
  <si>
    <t>Manipur</t>
  </si>
  <si>
    <t>Cancer</t>
  </si>
  <si>
    <t>Surgery And Chemotherapy</t>
  </si>
  <si>
    <t>Mizoram</t>
  </si>
  <si>
    <t>Hypertension</t>
  </si>
  <si>
    <t>Medication And Counseling</t>
  </si>
  <si>
    <t>Sikkim</t>
  </si>
  <si>
    <t>Appendicitis</t>
  </si>
  <si>
    <t>Appendectomy</t>
  </si>
  <si>
    <t>Karnataka</t>
  </si>
  <si>
    <t>Fractured Leg</t>
  </si>
  <si>
    <t>Cast And Physical Therapy</t>
  </si>
  <si>
    <t>Gujarat</t>
  </si>
  <si>
    <t>Heart Attack</t>
  </si>
  <si>
    <t>Cardiac Catheterization</t>
  </si>
  <si>
    <t>Allergic Reaction</t>
  </si>
  <si>
    <t>Epinephrine Injection</t>
  </si>
  <si>
    <t>Respiratory Infection</t>
  </si>
  <si>
    <t>Antibiotics And Rest</t>
  </si>
  <si>
    <t>Delhi</t>
  </si>
  <si>
    <t>Prostate Cancer</t>
  </si>
  <si>
    <t>Radiation Therapy</t>
  </si>
  <si>
    <t>Childbirth</t>
  </si>
  <si>
    <t>Delivery And Postnatal Care</t>
  </si>
  <si>
    <t>Bihar</t>
  </si>
  <si>
    <t>Kidney Stones</t>
  </si>
  <si>
    <t>Lithotripsy</t>
  </si>
  <si>
    <t>Osteoarthritis</t>
  </si>
  <si>
    <t>Physical Therapy And Pain Management</t>
  </si>
  <si>
    <t>Chandigarh</t>
  </si>
  <si>
    <t>Nagaland</t>
  </si>
  <si>
    <t>Tripura</t>
  </si>
  <si>
    <t>Meghalaya</t>
  </si>
  <si>
    <t>West Bengal</t>
  </si>
  <si>
    <t>Jammu &amp; Kashmir</t>
  </si>
  <si>
    <t>Assam</t>
  </si>
  <si>
    <t>Uttar Pradesh</t>
  </si>
  <si>
    <t>Punjab</t>
  </si>
  <si>
    <t>Himachal Pradesh</t>
  </si>
  <si>
    <t>Puducherry</t>
  </si>
  <si>
    <t>Andhra Pradesh</t>
  </si>
  <si>
    <t>Tamil Nadu</t>
  </si>
  <si>
    <t>Madhya Pradesh</t>
  </si>
  <si>
    <t>Odisha</t>
  </si>
  <si>
    <t>Rajasthan</t>
  </si>
  <si>
    <t>Haryana</t>
  </si>
  <si>
    <t>Jharkhand</t>
  </si>
  <si>
    <t>Arunachal Pradesh</t>
  </si>
  <si>
    <t>age_group</t>
  </si>
  <si>
    <t>Row Labels</t>
  </si>
  <si>
    <t>Grand Total</t>
  </si>
  <si>
    <t>Count of Patient_ID</t>
  </si>
  <si>
    <t>Adult</t>
  </si>
  <si>
    <t>Middle Age</t>
  </si>
  <si>
    <t>Senior</t>
  </si>
  <si>
    <t>insurance</t>
  </si>
  <si>
    <t>patient_stay_level</t>
  </si>
  <si>
    <t>stay_level</t>
  </si>
  <si>
    <t>0 to 7 days</t>
  </si>
  <si>
    <t>8 to 14 days</t>
  </si>
  <si>
    <t>15 to 30 days</t>
  </si>
  <si>
    <t>31 to 60 days</t>
  </si>
  <si>
    <t>More Than 60 days</t>
  </si>
  <si>
    <t>Sum of Total_Cost</t>
  </si>
  <si>
    <t>2022</t>
  </si>
  <si>
    <t>2023</t>
  </si>
  <si>
    <t>2024</t>
  </si>
  <si>
    <t>2025</t>
  </si>
  <si>
    <t>2026</t>
  </si>
  <si>
    <t>Discharge Year</t>
  </si>
  <si>
    <t xml:space="preserve"> </t>
  </si>
  <si>
    <t>Re-Admission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</si>
</sst>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4009]\ * #,##0_ ;_ [$₹-4009]\ * \-#,##0_ ;_ [$₹-4009]\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33" borderId="0" xfId="0" applyFill="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xf numFmtId="9" fontId="0" fillId="0" borderId="0" xfId="0" applyNumberFormat="1"/>
    <xf numFmtId="1" fontId="0" fillId="0" borderId="0" xfId="42" applyNumberFormat="1" applyFont="1"/>
    <xf numFmtId="0" fontId="0" fillId="0" borderId="0" xfId="0" applyNumberFormat="1"/>
    <xf numFmtId="0" fontId="17" fillId="0" borderId="0" xfId="0" applyFont="1"/>
    <xf numFmtId="9" fontId="17" fillId="0" borderId="0" xfId="42" applyFont="1"/>
    <xf numFmtId="165" fontId="17" fillId="0" borderId="0" xfId="0" applyNumberFormat="1" applyFont="1"/>
    <xf numFmtId="164" fontId="17"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65" formatCode="_ [$₹-4009]\ * #,##0_ ;_ [$₹-4009]\ * \-#,##0_ ;_ [$₹-4009]\ * &quot;-&quot;??_ ;_ @_ "/>
    </dxf>
    <dxf>
      <numFmt numFmtId="13" formatCode="0%"/>
    </dxf>
    <dxf>
      <numFmt numFmtId="0" formatCode="General"/>
    </dxf>
    <dxf>
      <numFmt numFmtId="13" formatCode="0%"/>
    </dxf>
    <dxf>
      <numFmt numFmtId="13" formatCode="0%"/>
    </dxf>
    <dxf>
      <numFmt numFmtId="13" formatCode="0%"/>
    </dxf>
    <dxf>
      <numFmt numFmtId="13" formatCode="0%"/>
    </dxf>
    <dxf>
      <numFmt numFmtId="0" formatCode="General"/>
    </dxf>
    <dxf>
      <numFmt numFmtId="19" formatCode="dd/mm/yyyy"/>
    </dxf>
    <dxf>
      <numFmt numFmtId="19" formatCode="dd/mm/yyyy"/>
    </dxf>
  </dxfs>
  <tableStyles count="0" defaultTableStyle="TableStyleMedium2" defaultPivotStyle="PivotStyleLight16"/>
  <colors>
    <mruColors>
      <color rgb="FF008080"/>
      <color rgb="FF00CECB"/>
      <color rgb="FF137E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Pivot_Table!$A$23</c:f>
              <c:strCache>
                <c:ptCount val="1"/>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1937-43EE-86ED-2076A1BB6885}"/>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1937-43EE-86ED-2076A1BB6885}"/>
              </c:ext>
            </c:extLst>
          </c:dPt>
          <c:dLbls>
            <c:dLbl>
              <c:idx val="0"/>
              <c:layout>
                <c:manualLayout>
                  <c:x val="-2.7281430874328556E-17"/>
                  <c:y val="-0.2441316358963704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37-43EE-86ED-2076A1BB6885}"/>
                </c:ext>
              </c:extLst>
            </c:dLbl>
            <c:dLbl>
              <c:idx val="1"/>
              <c:layout>
                <c:manualLayout>
                  <c:x val="0"/>
                  <c:y val="-0.3004697057186098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37-43EE-86ED-2076A1BB688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80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numRef>
              <c:f>Pivot_Table!$B$22:$C$22</c:f>
              <c:numCache>
                <c:formatCode>General</c:formatCode>
                <c:ptCount val="2"/>
              </c:numCache>
            </c:numRef>
          </c:cat>
          <c:val>
            <c:numRef>
              <c:f>Pivot_Table!$B$23:$C$23</c:f>
              <c:numCache>
                <c:formatCode>General</c:formatCode>
                <c:ptCount val="2"/>
              </c:numCache>
            </c:numRef>
          </c:val>
          <c:extLst>
            <c:ext xmlns:c16="http://schemas.microsoft.com/office/drawing/2014/chart" uri="{C3380CC4-5D6E-409C-BE32-E72D297353CC}">
              <c16:uniqueId val="{00000004-1937-43EE-86ED-2076A1BB6885}"/>
            </c:ext>
          </c:extLst>
        </c:ser>
        <c:ser>
          <c:idx val="1"/>
          <c:order val="1"/>
          <c:tx>
            <c:strRef>
              <c:f>Pivot_Table!$A$24</c:f>
              <c:strCache>
                <c:ptCount val="1"/>
              </c:strCache>
            </c:strRef>
          </c:tx>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1937-43EE-86ED-2076A1BB6885}"/>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1937-43EE-86ED-2076A1BB6885}"/>
              </c:ext>
            </c:extLst>
          </c:dPt>
          <c:dLbls>
            <c:delete val="1"/>
          </c:dLbls>
          <c:cat>
            <c:numRef>
              <c:f>Pivot_Table!$B$22:$C$22</c:f>
              <c:numCache>
                <c:formatCode>General</c:formatCode>
                <c:ptCount val="2"/>
              </c:numCache>
            </c:numRef>
          </c:cat>
          <c:val>
            <c:numRef>
              <c:f>Pivot_Table!$B$24:$C$24</c:f>
              <c:numCache>
                <c:formatCode>General</c:formatCode>
                <c:ptCount val="2"/>
              </c:numCache>
            </c:numRef>
          </c:val>
          <c:extLst>
            <c:ext xmlns:c16="http://schemas.microsoft.com/office/drawing/2014/chart" uri="{C3380CC4-5D6E-409C-BE32-E72D297353CC}">
              <c16:uniqueId val="{00000009-1937-43EE-86ED-2076A1BB6885}"/>
            </c:ext>
          </c:extLst>
        </c:ser>
        <c:dLbls>
          <c:dLblPos val="outEnd"/>
          <c:showLegendKey val="0"/>
          <c:showVal val="1"/>
          <c:showCatName val="0"/>
          <c:showSerName val="0"/>
          <c:showPercent val="0"/>
          <c:showBubbleSize val="0"/>
        </c:dLbls>
        <c:gapWidth val="0"/>
        <c:overlap val="100"/>
        <c:axId val="1862071184"/>
        <c:axId val="1854216656"/>
      </c:barChart>
      <c:catAx>
        <c:axId val="1862071184"/>
        <c:scaling>
          <c:orientation val="minMax"/>
        </c:scaling>
        <c:delete val="1"/>
        <c:axPos val="b"/>
        <c:numFmt formatCode="General" sourceLinked="1"/>
        <c:majorTickMark val="none"/>
        <c:minorTickMark val="none"/>
        <c:tickLblPos val="nextTo"/>
        <c:crossAx val="1854216656"/>
        <c:crosses val="autoZero"/>
        <c:auto val="1"/>
        <c:lblAlgn val="ctr"/>
        <c:lblOffset val="100"/>
        <c:noMultiLvlLbl val="0"/>
      </c:catAx>
      <c:valAx>
        <c:axId val="1854216656"/>
        <c:scaling>
          <c:orientation val="minMax"/>
        </c:scaling>
        <c:delete val="1"/>
        <c:axPos val="l"/>
        <c:numFmt formatCode="General" sourceLinked="1"/>
        <c:majorTickMark val="none"/>
        <c:minorTickMark val="none"/>
        <c:tickLblPos val="nextTo"/>
        <c:crossAx val="1862071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[patient_analysis.xlsx]Pivot_Table!PivotTable8</c:name>
    <c:fmtId val="5"/>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Stay</a:t>
            </a:r>
            <a:r>
              <a:rPr lang="en-US" b="1" baseline="0"/>
              <a:t>-Duration</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Pivot_Table!$O$3</c:f>
              <c:strCache>
                <c:ptCount val="1"/>
                <c:pt idx="0">
                  <c:v>Total</c:v>
                </c:pt>
              </c:strCache>
            </c:strRef>
          </c:tx>
          <c:spPr>
            <a:solidFill>
              <a:srgbClr val="008080"/>
            </a:solidFill>
            <a:ln>
              <a:noFill/>
            </a:ln>
            <a:effectLst/>
            <a:sp3d/>
          </c:spPr>
          <c:invertIfNegative val="0"/>
          <c:cat>
            <c:strRef>
              <c:f>Pivot_Table!$N$4:$N$9</c:f>
              <c:strCache>
                <c:ptCount val="5"/>
                <c:pt idx="0">
                  <c:v>0 to 7 days</c:v>
                </c:pt>
                <c:pt idx="1">
                  <c:v>8 to 14 days</c:v>
                </c:pt>
                <c:pt idx="2">
                  <c:v>15 to 30 days</c:v>
                </c:pt>
                <c:pt idx="3">
                  <c:v>31 to 60 days</c:v>
                </c:pt>
                <c:pt idx="4">
                  <c:v>More Than 60 days</c:v>
                </c:pt>
              </c:strCache>
            </c:strRef>
          </c:cat>
          <c:val>
            <c:numRef>
              <c:f>Pivot_Table!$O$4:$O$9</c:f>
              <c:numCache>
                <c:formatCode>General</c:formatCode>
                <c:ptCount val="5"/>
                <c:pt idx="0">
                  <c:v>53</c:v>
                </c:pt>
                <c:pt idx="1">
                  <c:v>100</c:v>
                </c:pt>
                <c:pt idx="2">
                  <c:v>236</c:v>
                </c:pt>
                <c:pt idx="3">
                  <c:v>438</c:v>
                </c:pt>
                <c:pt idx="4">
                  <c:v>157</c:v>
                </c:pt>
              </c:numCache>
            </c:numRef>
          </c:val>
          <c:shape val="cylinder"/>
          <c:extLst>
            <c:ext xmlns:c16="http://schemas.microsoft.com/office/drawing/2014/chart" uri="{C3380CC4-5D6E-409C-BE32-E72D297353CC}">
              <c16:uniqueId val="{00000000-45BA-4B71-8335-DBFB0ED80129}"/>
            </c:ext>
          </c:extLst>
        </c:ser>
        <c:dLbls>
          <c:showLegendKey val="0"/>
          <c:showVal val="0"/>
          <c:showCatName val="0"/>
          <c:showSerName val="0"/>
          <c:showPercent val="0"/>
          <c:showBubbleSize val="0"/>
        </c:dLbls>
        <c:gapWidth val="100"/>
        <c:gapDepth val="100"/>
        <c:shape val="box"/>
        <c:axId val="2051032272"/>
        <c:axId val="205028559"/>
        <c:axId val="873237136"/>
      </c:bar3DChart>
      <c:catAx>
        <c:axId val="205103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028559"/>
        <c:crosses val="autoZero"/>
        <c:auto val="1"/>
        <c:lblAlgn val="ctr"/>
        <c:lblOffset val="100"/>
        <c:noMultiLvlLbl val="0"/>
      </c:catAx>
      <c:valAx>
        <c:axId val="20502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1032272"/>
        <c:crosses val="autoZero"/>
        <c:crossBetween val="between"/>
      </c:valAx>
      <c:serAx>
        <c:axId val="873237136"/>
        <c:scaling>
          <c:orientation val="minMax"/>
        </c:scaling>
        <c:delete val="1"/>
        <c:axPos val="b"/>
        <c:majorTickMark val="out"/>
        <c:minorTickMark val="none"/>
        <c:tickLblPos val="nextTo"/>
        <c:crossAx val="2050285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00CECB"/>
          </a:solidFill>
          <a:ln w="25400">
            <a:solidFill>
              <a:schemeClr val="lt1"/>
            </a:solidFill>
          </a:ln>
          <a:effectLst/>
          <a:sp3d contourW="25400">
            <a:contourClr>
              <a:schemeClr val="lt1"/>
            </a:contourClr>
          </a:sp3d>
        </c:spPr>
      </c:pivotFmt>
      <c:pivotFmt>
        <c:idx val="10"/>
        <c:spPr>
          <a:solidFill>
            <a:srgbClr val="008080"/>
          </a:solidFill>
          <a:ln w="25400">
            <a:solidFill>
              <a:schemeClr val="lt1"/>
            </a:solidFill>
          </a:ln>
          <a:effectLst/>
          <a:sp3d contourW="25400">
            <a:contourClr>
              <a:schemeClr val="lt1"/>
            </a:contourClr>
          </a:sp3d>
        </c:spPr>
      </c:pivotFmt>
      <c:pivotFmt>
        <c:idx val="11"/>
        <c:spPr>
          <a:solidFill>
            <a:srgbClr val="137E6D"/>
          </a:solidFill>
          <a:ln w="25400">
            <a:solidFill>
              <a:schemeClr val="lt1"/>
            </a:solidFill>
          </a:ln>
          <a:effectLst/>
          <a:sp3d contourW="25400">
            <a:contourClr>
              <a:schemeClr val="lt1"/>
            </a:contourClr>
          </a:sp3d>
        </c:spPr>
      </c:pivotFmt>
    </c:pivotFmts>
    <c:view3D>
      <c:rotX val="4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Pivot_Table!$H$3</c:f>
              <c:strCache>
                <c:ptCount val="1"/>
                <c:pt idx="0">
                  <c:v>Total</c:v>
                </c:pt>
              </c:strCache>
            </c:strRef>
          </c:tx>
          <c:dPt>
            <c:idx val="0"/>
            <c:bubble3D val="0"/>
            <c:spPr>
              <a:solidFill>
                <a:srgbClr val="00CECB"/>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D7-4526-AFB1-0AF4AE1E7487}"/>
              </c:ext>
            </c:extLst>
          </c:dPt>
          <c:dPt>
            <c:idx val="1"/>
            <c:bubble3D val="0"/>
            <c:spPr>
              <a:solidFill>
                <a:srgbClr val="008080"/>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D7-4526-AFB1-0AF4AE1E7487}"/>
              </c:ext>
            </c:extLst>
          </c:dPt>
          <c:dPt>
            <c:idx val="2"/>
            <c:bubble3D val="0"/>
            <c:spPr>
              <a:solidFill>
                <a:srgbClr val="137E6D"/>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D7-4526-AFB1-0AF4AE1E74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Pivot_Table!$G$4:$G$7</c:f>
              <c:strCache>
                <c:ptCount val="3"/>
                <c:pt idx="0">
                  <c:v>Adult</c:v>
                </c:pt>
                <c:pt idx="1">
                  <c:v>Middle Age</c:v>
                </c:pt>
                <c:pt idx="2">
                  <c:v>Senior</c:v>
                </c:pt>
              </c:strCache>
            </c:strRef>
          </c:cat>
          <c:val>
            <c:numRef>
              <c:f>Pivot_Table!$H$4:$H$7</c:f>
              <c:numCache>
                <c:formatCode>General</c:formatCode>
                <c:ptCount val="3"/>
                <c:pt idx="0">
                  <c:v>197</c:v>
                </c:pt>
                <c:pt idx="1">
                  <c:v>459</c:v>
                </c:pt>
                <c:pt idx="2">
                  <c:v>328</c:v>
                </c:pt>
              </c:numCache>
            </c:numRef>
          </c:val>
          <c:extLst>
            <c:ext xmlns:c16="http://schemas.microsoft.com/office/drawing/2014/chart" uri="{C3380CC4-5D6E-409C-BE32-E72D297353CC}">
              <c16:uniqueId val="{00000006-2AD7-4526-AFB1-0AF4AE1E748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[patient_analysis.xlsx]Pivot_Table!PivotTable7</c:name>
    <c:fmtId val="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Patients</a:t>
            </a:r>
            <a:r>
              <a:rPr lang="en-US" b="1" baseline="0"/>
              <a:t> By State</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Pivot_Table!$L$3</c:f>
              <c:strCache>
                <c:ptCount val="1"/>
                <c:pt idx="0">
                  <c:v>Total</c:v>
                </c:pt>
              </c:strCache>
            </c:strRef>
          </c:tx>
          <c:spPr>
            <a:solidFill>
              <a:srgbClr val="008080"/>
            </a:solidFill>
            <a:ln>
              <a:noFill/>
            </a:ln>
            <a:effectLst/>
          </c:spPr>
          <c:invertIfNegative val="0"/>
          <c:cat>
            <c:strRef>
              <c:f>Pivot_Table!$K$4:$K$33</c:f>
              <c:strCache>
                <c:ptCount val="29"/>
                <c:pt idx="0">
                  <c:v>Andhra Pradesh</c:v>
                </c:pt>
                <c:pt idx="1">
                  <c:v>Arunachal Pradesh</c:v>
                </c:pt>
                <c:pt idx="2">
                  <c:v>Assam</c:v>
                </c:pt>
                <c:pt idx="3">
                  <c:v>Bihar</c:v>
                </c:pt>
                <c:pt idx="4">
                  <c:v>Chandigarh</c:v>
                </c:pt>
                <c:pt idx="5">
                  <c:v>Delhi</c:v>
                </c:pt>
                <c:pt idx="6">
                  <c:v>Goa</c:v>
                </c:pt>
                <c:pt idx="7">
                  <c:v>Gujarat</c:v>
                </c:pt>
                <c:pt idx="8">
                  <c:v>Haryana</c:v>
                </c:pt>
                <c:pt idx="9">
                  <c:v>Himachal Pradesh</c:v>
                </c:pt>
                <c:pt idx="10">
                  <c:v>Jammu &amp; Kashmir</c:v>
                </c:pt>
                <c:pt idx="11">
                  <c:v>Jharkhand</c:v>
                </c:pt>
                <c:pt idx="12">
                  <c:v>Karnataka</c:v>
                </c:pt>
                <c:pt idx="13">
                  <c:v>Kerala</c:v>
                </c:pt>
                <c:pt idx="14">
                  <c:v>Madhya Pradesh</c:v>
                </c:pt>
                <c:pt idx="15">
                  <c:v>Maharastra</c:v>
                </c:pt>
                <c:pt idx="16">
                  <c:v>Manipur</c:v>
                </c:pt>
                <c:pt idx="17">
                  <c:v>Meghalaya</c:v>
                </c:pt>
                <c:pt idx="18">
                  <c:v>Mizoram</c:v>
                </c:pt>
                <c:pt idx="19">
                  <c:v>Nagaland</c:v>
                </c:pt>
                <c:pt idx="20">
                  <c:v>Odisha</c:v>
                </c:pt>
                <c:pt idx="21">
                  <c:v>Puducherry</c:v>
                </c:pt>
                <c:pt idx="22">
                  <c:v>Punjab</c:v>
                </c:pt>
                <c:pt idx="23">
                  <c:v>Rajasthan</c:v>
                </c:pt>
                <c:pt idx="24">
                  <c:v>Sikkim</c:v>
                </c:pt>
                <c:pt idx="25">
                  <c:v>Tamil Nadu</c:v>
                </c:pt>
                <c:pt idx="26">
                  <c:v>Tripura</c:v>
                </c:pt>
                <c:pt idx="27">
                  <c:v>Uttar Pradesh</c:v>
                </c:pt>
                <c:pt idx="28">
                  <c:v>West Bengal</c:v>
                </c:pt>
              </c:strCache>
            </c:strRef>
          </c:cat>
          <c:val>
            <c:numRef>
              <c:f>Pivot_Table!$L$4:$L$33</c:f>
              <c:numCache>
                <c:formatCode>General</c:formatCode>
                <c:ptCount val="29"/>
                <c:pt idx="0">
                  <c:v>20</c:v>
                </c:pt>
                <c:pt idx="1">
                  <c:v>9</c:v>
                </c:pt>
                <c:pt idx="2">
                  <c:v>36</c:v>
                </c:pt>
                <c:pt idx="3">
                  <c:v>23</c:v>
                </c:pt>
                <c:pt idx="4">
                  <c:v>31</c:v>
                </c:pt>
                <c:pt idx="5">
                  <c:v>70</c:v>
                </c:pt>
                <c:pt idx="6">
                  <c:v>34</c:v>
                </c:pt>
                <c:pt idx="7">
                  <c:v>38</c:v>
                </c:pt>
                <c:pt idx="8">
                  <c:v>30</c:v>
                </c:pt>
                <c:pt idx="9">
                  <c:v>45</c:v>
                </c:pt>
                <c:pt idx="10">
                  <c:v>24</c:v>
                </c:pt>
                <c:pt idx="11">
                  <c:v>9</c:v>
                </c:pt>
                <c:pt idx="12">
                  <c:v>32</c:v>
                </c:pt>
                <c:pt idx="13">
                  <c:v>120</c:v>
                </c:pt>
                <c:pt idx="14">
                  <c:v>31</c:v>
                </c:pt>
                <c:pt idx="15">
                  <c:v>38</c:v>
                </c:pt>
                <c:pt idx="16">
                  <c:v>21</c:v>
                </c:pt>
                <c:pt idx="17">
                  <c:v>32</c:v>
                </c:pt>
                <c:pt idx="18">
                  <c:v>36</c:v>
                </c:pt>
                <c:pt idx="19">
                  <c:v>5</c:v>
                </c:pt>
                <c:pt idx="20">
                  <c:v>23</c:v>
                </c:pt>
                <c:pt idx="21">
                  <c:v>45</c:v>
                </c:pt>
                <c:pt idx="22">
                  <c:v>64</c:v>
                </c:pt>
                <c:pt idx="23">
                  <c:v>15</c:v>
                </c:pt>
                <c:pt idx="24">
                  <c:v>24</c:v>
                </c:pt>
                <c:pt idx="25">
                  <c:v>63</c:v>
                </c:pt>
                <c:pt idx="26">
                  <c:v>25</c:v>
                </c:pt>
                <c:pt idx="27">
                  <c:v>16</c:v>
                </c:pt>
                <c:pt idx="28">
                  <c:v>25</c:v>
                </c:pt>
              </c:numCache>
            </c:numRef>
          </c:val>
          <c:extLst>
            <c:ext xmlns:c16="http://schemas.microsoft.com/office/drawing/2014/chart" uri="{C3380CC4-5D6E-409C-BE32-E72D297353CC}">
              <c16:uniqueId val="{00000000-DC05-4781-8AAC-28E51F71E568}"/>
            </c:ext>
          </c:extLst>
        </c:ser>
        <c:dLbls>
          <c:showLegendKey val="0"/>
          <c:showVal val="0"/>
          <c:showCatName val="0"/>
          <c:showSerName val="0"/>
          <c:showPercent val="0"/>
          <c:showBubbleSize val="0"/>
        </c:dLbls>
        <c:gapWidth val="182"/>
        <c:axId val="1886054656"/>
        <c:axId val="1766878288"/>
      </c:barChart>
      <c:catAx>
        <c:axId val="188605465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crossAx val="1766878288"/>
        <c:crosses val="autoZero"/>
        <c:auto val="1"/>
        <c:lblAlgn val="ctr"/>
        <c:lblOffset val="100"/>
        <c:noMultiLvlLbl val="0"/>
      </c:catAx>
      <c:valAx>
        <c:axId val="176687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8605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5400000" vert="horz"/>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[patient_analysis.xlsx]Pivot_Table!PivotTable1</c:name>
    <c:fmtId val="1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Gender</a:t>
            </a:r>
            <a:r>
              <a:rPr lang="en-US" b="1" baseline="0"/>
              <a:t>-Analysis</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80"/>
          </a:solidFill>
          <a:ln>
            <a:noFill/>
          </a:ln>
          <a:effectLst/>
        </c:spPr>
      </c:pivotFmt>
      <c:pivotFmt>
        <c:idx val="7"/>
        <c:spPr>
          <a:solidFill>
            <a:srgbClr val="008080"/>
          </a:solidFill>
          <a:ln>
            <a:noFill/>
          </a:ln>
          <a:effectLst/>
        </c:spPr>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dPt>
            <c:idx val="0"/>
            <c:invertIfNegative val="0"/>
            <c:bubble3D val="0"/>
            <c:spPr>
              <a:solidFill>
                <a:srgbClr val="008080"/>
              </a:solidFill>
              <a:ln>
                <a:noFill/>
              </a:ln>
              <a:effectLst/>
            </c:spPr>
            <c:extLst>
              <c:ext xmlns:c16="http://schemas.microsoft.com/office/drawing/2014/chart" uri="{C3380CC4-5D6E-409C-BE32-E72D297353CC}">
                <c16:uniqueId val="{00000005-F46E-44F7-89CC-375F7747ED98}"/>
              </c:ext>
            </c:extLst>
          </c:dPt>
          <c:dPt>
            <c:idx val="1"/>
            <c:invertIfNegative val="0"/>
            <c:bubble3D val="0"/>
            <c:spPr>
              <a:solidFill>
                <a:srgbClr val="008080"/>
              </a:solidFill>
              <a:ln>
                <a:noFill/>
              </a:ln>
              <a:effectLst/>
            </c:spPr>
            <c:extLst>
              <c:ext xmlns:c16="http://schemas.microsoft.com/office/drawing/2014/chart" uri="{C3380CC4-5D6E-409C-BE32-E72D297353CC}">
                <c16:uniqueId val="{00000004-F46E-44F7-89CC-375F7747ED98}"/>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Pivot_Table!$A$4:$A$6</c:f>
              <c:strCache>
                <c:ptCount val="2"/>
                <c:pt idx="0">
                  <c:v>Female</c:v>
                </c:pt>
                <c:pt idx="1">
                  <c:v>Male</c:v>
                </c:pt>
              </c:strCache>
            </c:strRef>
          </c:cat>
          <c:val>
            <c:numRef>
              <c:f>Pivot_Table!$B$4:$B$6</c:f>
              <c:numCache>
                <c:formatCode>General</c:formatCode>
                <c:ptCount val="2"/>
                <c:pt idx="0">
                  <c:v>524</c:v>
                </c:pt>
                <c:pt idx="1">
                  <c:v>460</c:v>
                </c:pt>
              </c:numCache>
            </c:numRef>
          </c:val>
          <c:extLst>
            <c:ext xmlns:c16="http://schemas.microsoft.com/office/drawing/2014/chart" uri="{C3380CC4-5D6E-409C-BE32-E72D297353CC}">
              <c16:uniqueId val="{00000003-F46E-44F7-89CC-375F7747ED98}"/>
            </c:ext>
          </c:extLst>
        </c:ser>
        <c:dLbls>
          <c:dLblPos val="outEnd"/>
          <c:showLegendKey val="0"/>
          <c:showVal val="1"/>
          <c:showCatName val="0"/>
          <c:showSerName val="0"/>
          <c:showPercent val="0"/>
          <c:showBubbleSize val="0"/>
        </c:dLbls>
        <c:gapWidth val="150"/>
        <c:axId val="906170752"/>
        <c:axId val="1351291696"/>
      </c:barChart>
      <c:catAx>
        <c:axId val="906170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51291696"/>
        <c:crosses val="autoZero"/>
        <c:auto val="1"/>
        <c:lblAlgn val="ctr"/>
        <c:lblOffset val="100"/>
        <c:noMultiLvlLbl val="0"/>
      </c:catAx>
      <c:valAx>
        <c:axId val="135129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061707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[patient_analysis.xlsx]Pivot_Table!PivotTable6</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Condition-Analysis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Pivot_Table!$F$11</c:f>
              <c:strCache>
                <c:ptCount val="1"/>
                <c:pt idx="0">
                  <c:v>Total</c:v>
                </c:pt>
              </c:strCache>
            </c:strRef>
          </c:tx>
          <c:spPr>
            <a:solidFill>
              <a:srgbClr val="008080"/>
            </a:solidFill>
            <a:ln>
              <a:noFill/>
            </a:ln>
            <a:effectLst/>
          </c:spPr>
          <c:invertIfNegative val="0"/>
          <c:cat>
            <c:strRef>
              <c:f>Pivot_Table!$E$12:$E$27</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Pivot_Table!$F$12:$F$27</c:f>
              <c:numCache>
                <c:formatCode>General</c:formatCode>
                <c:ptCount val="15"/>
                <c:pt idx="0">
                  <c:v>66</c:v>
                </c:pt>
                <c:pt idx="1">
                  <c:v>66</c:v>
                </c:pt>
                <c:pt idx="2">
                  <c:v>66</c:v>
                </c:pt>
                <c:pt idx="3">
                  <c:v>65</c:v>
                </c:pt>
                <c:pt idx="4">
                  <c:v>65</c:v>
                </c:pt>
                <c:pt idx="5">
                  <c:v>66</c:v>
                </c:pt>
                <c:pt idx="6">
                  <c:v>67</c:v>
                </c:pt>
                <c:pt idx="7">
                  <c:v>67</c:v>
                </c:pt>
                <c:pt idx="8">
                  <c:v>65</c:v>
                </c:pt>
                <c:pt idx="9">
                  <c:v>66</c:v>
                </c:pt>
                <c:pt idx="10">
                  <c:v>65</c:v>
                </c:pt>
                <c:pt idx="11">
                  <c:v>64</c:v>
                </c:pt>
                <c:pt idx="12">
                  <c:v>65</c:v>
                </c:pt>
                <c:pt idx="13">
                  <c:v>65</c:v>
                </c:pt>
                <c:pt idx="14">
                  <c:v>66</c:v>
                </c:pt>
              </c:numCache>
            </c:numRef>
          </c:val>
          <c:extLst>
            <c:ext xmlns:c16="http://schemas.microsoft.com/office/drawing/2014/chart" uri="{C3380CC4-5D6E-409C-BE32-E72D297353CC}">
              <c16:uniqueId val="{00000000-DBF5-4BCE-A326-DE9F31C889A4}"/>
            </c:ext>
          </c:extLst>
        </c:ser>
        <c:dLbls>
          <c:showLegendKey val="0"/>
          <c:showVal val="0"/>
          <c:showCatName val="0"/>
          <c:showSerName val="0"/>
          <c:showPercent val="0"/>
          <c:showBubbleSize val="0"/>
        </c:dLbls>
        <c:gapWidth val="182"/>
        <c:axId val="123476351"/>
        <c:axId val="2146693199"/>
      </c:barChart>
      <c:catAx>
        <c:axId val="12347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46693199"/>
        <c:crosses val="autoZero"/>
        <c:auto val="1"/>
        <c:lblAlgn val="ctr"/>
        <c:lblOffset val="100"/>
        <c:noMultiLvlLbl val="0"/>
      </c:catAx>
      <c:valAx>
        <c:axId val="2146693199"/>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3476351"/>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[patient_analysis.xlsx]Pivot_Table!PivotTable13</c:name>
    <c:fmtId val="2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And Patient Volume By Year</a:t>
            </a:r>
          </a:p>
        </c:rich>
      </c:tx>
      <c:layout>
        <c:manualLayout>
          <c:xMode val="edge"/>
          <c:yMode val="edge"/>
          <c:x val="0.24421032390720784"/>
          <c:y val="1.8518427639931039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2225" cap="rnd">
            <a:gradFill flip="none" rotWithShape="1">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gradFill flip="none" rotWithShape="1">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shape">
                <a:fillToRect l="50000" t="50000" r="50000" b="50000"/>
              </a:path>
              <a:tileRect/>
            </a:gra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08080"/>
            </a:soli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8080"/>
            </a:soli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a:solidFill>
              <a:srgbClr val="008080"/>
            </a:soli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a:solidFill>
              <a:srgbClr val="008080"/>
            </a:soli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8080"/>
          </a:solidFill>
          <a:ln w="22225">
            <a:solidFill>
              <a:srgbClr val="008080"/>
            </a:solidFill>
            <a:beve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CEC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Pivot_Table!$U$3</c:f>
              <c:strCache>
                <c:ptCount val="1"/>
                <c:pt idx="0">
                  <c:v>Sum of Total_Cost</c:v>
                </c:pt>
              </c:strCache>
            </c:strRef>
          </c:tx>
          <c:spPr>
            <a:solidFill>
              <a:srgbClr val="008080"/>
            </a:solidFill>
            <a:ln w="22225">
              <a:solidFill>
                <a:srgbClr val="008080"/>
              </a:solidFill>
              <a:bevel/>
            </a:ln>
            <a:effectLst>
              <a:softEdge rad="0"/>
            </a:effectLst>
          </c:spPr>
          <c:invertIfNegative val="0"/>
          <c:cat>
            <c:strRef>
              <c:f>Pivot_Table!$T$4:$T$9</c:f>
              <c:strCache>
                <c:ptCount val="5"/>
                <c:pt idx="0">
                  <c:v>2022</c:v>
                </c:pt>
                <c:pt idx="1">
                  <c:v>2023</c:v>
                </c:pt>
                <c:pt idx="2">
                  <c:v>2024</c:v>
                </c:pt>
                <c:pt idx="3">
                  <c:v>2025</c:v>
                </c:pt>
                <c:pt idx="4">
                  <c:v>2026</c:v>
                </c:pt>
              </c:strCache>
            </c:strRef>
          </c:cat>
          <c:val>
            <c:numRef>
              <c:f>Pivot_Table!$U$4:$U$9</c:f>
              <c:numCache>
                <c:formatCode>_ [$₹-4009]\ * #,##0_ ;_ [$₹-4009]\ * \-#,##0_ ;_ [$₹-4009]\ * "-"??_ ;_ @_ </c:formatCode>
                <c:ptCount val="5"/>
                <c:pt idx="0">
                  <c:v>1629500</c:v>
                </c:pt>
                <c:pt idx="1">
                  <c:v>2340400</c:v>
                </c:pt>
                <c:pt idx="2">
                  <c:v>2172800</c:v>
                </c:pt>
                <c:pt idx="3">
                  <c:v>1899300</c:v>
                </c:pt>
                <c:pt idx="4">
                  <c:v>191600</c:v>
                </c:pt>
              </c:numCache>
            </c:numRef>
          </c:val>
          <c:extLst>
            <c:ext xmlns:c16="http://schemas.microsoft.com/office/drawing/2014/chart" uri="{C3380CC4-5D6E-409C-BE32-E72D297353CC}">
              <c16:uniqueId val="{00000000-FC39-4C33-B71B-397CA64A53B8}"/>
            </c:ext>
          </c:extLst>
        </c:ser>
        <c:dLbls>
          <c:showLegendKey val="0"/>
          <c:showVal val="0"/>
          <c:showCatName val="0"/>
          <c:showSerName val="0"/>
          <c:showPercent val="0"/>
          <c:showBubbleSize val="0"/>
        </c:dLbls>
        <c:gapWidth val="150"/>
        <c:axId val="263024895"/>
        <c:axId val="205100559"/>
      </c:barChart>
      <c:lineChart>
        <c:grouping val="standard"/>
        <c:varyColors val="0"/>
        <c:ser>
          <c:idx val="1"/>
          <c:order val="1"/>
          <c:tx>
            <c:strRef>
              <c:f>Pivot_Table!$V$3</c:f>
              <c:strCache>
                <c:ptCount val="1"/>
                <c:pt idx="0">
                  <c:v>Count of Patient_ID</c:v>
                </c:pt>
              </c:strCache>
            </c:strRef>
          </c:tx>
          <c:spPr>
            <a:ln w="28575" cap="rnd">
              <a:solidFill>
                <a:srgbClr val="00CECB"/>
              </a:solidFill>
              <a:round/>
            </a:ln>
            <a:effectLst/>
          </c:spPr>
          <c:marker>
            <c:symbol val="none"/>
          </c:marker>
          <c:cat>
            <c:strRef>
              <c:f>Pivot_Table!$T$4:$T$9</c:f>
              <c:strCache>
                <c:ptCount val="5"/>
                <c:pt idx="0">
                  <c:v>2022</c:v>
                </c:pt>
                <c:pt idx="1">
                  <c:v>2023</c:v>
                </c:pt>
                <c:pt idx="2">
                  <c:v>2024</c:v>
                </c:pt>
                <c:pt idx="3">
                  <c:v>2025</c:v>
                </c:pt>
                <c:pt idx="4">
                  <c:v>2026</c:v>
                </c:pt>
              </c:strCache>
            </c:strRef>
          </c:cat>
          <c:val>
            <c:numRef>
              <c:f>Pivot_Table!$V$4:$V$9</c:f>
              <c:numCache>
                <c:formatCode>General</c:formatCode>
                <c:ptCount val="5"/>
                <c:pt idx="0">
                  <c:v>221</c:v>
                </c:pt>
                <c:pt idx="1">
                  <c:v>259</c:v>
                </c:pt>
                <c:pt idx="2">
                  <c:v>254</c:v>
                </c:pt>
                <c:pt idx="3">
                  <c:v>231</c:v>
                </c:pt>
                <c:pt idx="4">
                  <c:v>19</c:v>
                </c:pt>
              </c:numCache>
            </c:numRef>
          </c:val>
          <c:smooth val="1"/>
          <c:extLst>
            <c:ext xmlns:c16="http://schemas.microsoft.com/office/drawing/2014/chart" uri="{C3380CC4-5D6E-409C-BE32-E72D297353CC}">
              <c16:uniqueId val="{00000001-FC39-4C33-B71B-397CA64A53B8}"/>
            </c:ext>
          </c:extLst>
        </c:ser>
        <c:dLbls>
          <c:showLegendKey val="0"/>
          <c:showVal val="0"/>
          <c:showCatName val="0"/>
          <c:showSerName val="0"/>
          <c:showPercent val="0"/>
          <c:showBubbleSize val="0"/>
        </c:dLbls>
        <c:marker val="1"/>
        <c:smooth val="0"/>
        <c:axId val="164624352"/>
        <c:axId val="1141052656"/>
      </c:lineChart>
      <c:catAx>
        <c:axId val="2630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100559"/>
        <c:crosses val="autoZero"/>
        <c:auto val="1"/>
        <c:lblAlgn val="ctr"/>
        <c:lblOffset val="100"/>
        <c:noMultiLvlLbl val="0"/>
      </c:catAx>
      <c:valAx>
        <c:axId val="20510055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63024895"/>
        <c:crosses val="autoZero"/>
        <c:crossBetween val="between"/>
      </c:valAx>
      <c:valAx>
        <c:axId val="1141052656"/>
        <c:scaling>
          <c:orientation val="minMax"/>
        </c:scaling>
        <c:delete val="0"/>
        <c:axPos val="r"/>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Patient-Count</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4624352"/>
        <c:crosses val="max"/>
        <c:crossBetween val="between"/>
      </c:valAx>
      <c:catAx>
        <c:axId val="164624352"/>
        <c:scaling>
          <c:orientation val="minMax"/>
        </c:scaling>
        <c:delete val="1"/>
        <c:axPos val="b"/>
        <c:numFmt formatCode="General" sourceLinked="1"/>
        <c:majorTickMark val="out"/>
        <c:minorTickMark val="none"/>
        <c:tickLblPos val="nextTo"/>
        <c:crossAx val="1141052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22</xdr:col>
      <xdr:colOff>425223</xdr:colOff>
      <xdr:row>2</xdr:row>
      <xdr:rowOff>59532</xdr:rowOff>
    </xdr:from>
    <xdr:to>
      <xdr:col>26</xdr:col>
      <xdr:colOff>86158</xdr:colOff>
      <xdr:row>9</xdr:row>
      <xdr:rowOff>94600</xdr:rowOff>
    </xdr:to>
    <xdr:graphicFrame macro="">
      <xdr:nvGraphicFramePr>
        <xdr:cNvPr id="10" name="Chart 9">
          <a:extLst>
            <a:ext uri="{FF2B5EF4-FFF2-40B4-BE49-F238E27FC236}">
              <a16:creationId xmlns:a16="http://schemas.microsoft.com/office/drawing/2014/main" id="{7904AD18-ED7F-4871-86A0-557410B84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494058</xdr:colOff>
      <xdr:row>20</xdr:row>
      <xdr:rowOff>136172</xdr:rowOff>
    </xdr:from>
    <xdr:to>
      <xdr:col>8</xdr:col>
      <xdr:colOff>399196</xdr:colOff>
      <xdr:row>34</xdr:row>
      <xdr:rowOff>157114</xdr:rowOff>
    </xdr:to>
    <xdr:graphicFrame macro="">
      <xdr:nvGraphicFramePr>
        <xdr:cNvPr id="2" name="Chart 1">
          <a:extLst>
            <a:ext uri="{FF2B5EF4-FFF2-40B4-BE49-F238E27FC236}">
              <a16:creationId xmlns:a16="http://schemas.microsoft.com/office/drawing/2014/main" id="{F53290B3-6B14-40DE-9FE6-E4A9FEE9B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505721</xdr:colOff>
      <xdr:row>5</xdr:row>
      <xdr:rowOff>4222</xdr:rowOff>
    </xdr:from>
    <xdr:to>
      <xdr:col>8</xdr:col>
      <xdr:colOff>418636</xdr:colOff>
      <xdr:row>20</xdr:row>
      <xdr:rowOff>29459</xdr:rowOff>
    </xdr:to>
    <xdr:graphicFrame macro="">
      <xdr:nvGraphicFramePr>
        <xdr:cNvPr id="3" name="Chart 2">
          <a:extLst>
            <a:ext uri="{FF2B5EF4-FFF2-40B4-BE49-F238E27FC236}">
              <a16:creationId xmlns:a16="http://schemas.microsoft.com/office/drawing/2014/main" id="{0E399D53-AD8E-4A95-8621-DD94A0AB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171503</xdr:colOff>
      <xdr:row>5</xdr:row>
      <xdr:rowOff>37057</xdr:rowOff>
    </xdr:from>
    <xdr:to>
      <xdr:col>21</xdr:col>
      <xdr:colOff>525859</xdr:colOff>
      <xdr:row>20</xdr:row>
      <xdr:rowOff>39279</xdr:rowOff>
    </xdr:to>
    <xdr:graphicFrame macro="">
      <xdr:nvGraphicFramePr>
        <xdr:cNvPr id="5" name="Chart 4">
          <a:extLst>
            <a:ext uri="{FF2B5EF4-FFF2-40B4-BE49-F238E27FC236}">
              <a16:creationId xmlns:a16="http://schemas.microsoft.com/office/drawing/2014/main" id="{E3F73396-58E6-4CF8-9FFB-CBEEEB3C1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107631</xdr:colOff>
      <xdr:row>5</xdr:row>
      <xdr:rowOff>136671</xdr:rowOff>
    </xdr:from>
    <xdr:to>
      <xdr:col>2</xdr:col>
      <xdr:colOff>441006</xdr:colOff>
      <xdr:row>9</xdr:row>
      <xdr:rowOff>69995</xdr:rowOff>
    </xdr:to>
    <mc:AlternateContent xmlns:mc="http://schemas.openxmlformats.org/markup-compatibility/2006" xmlns:a14="http://schemas.microsoft.com/office/drawing/2010/main">
      <mc:Choice Requires="a14">
        <xdr:graphicFrame macro="">
          <xdr:nvGraphicFramePr>
            <xdr:cNvPr id="41" name="Readmission">
              <a:extLst>
                <a:ext uri="{FF2B5EF4-FFF2-40B4-BE49-F238E27FC236}">
                  <a16:creationId xmlns:a16="http://schemas.microsoft.com/office/drawing/2014/main" id="{734765DF-BF0C-4DE2-B69C-FC273249F43E}"/>
                </a:ext>
              </a:extLst>
            </xdr:cNvPr>
            <xdr:cNvGraphicFramePr/>
          </xdr:nvGraphicFramePr>
          <xdr:xfrm>
            <a:off x="0" y="0"/>
            <a:ext cx="0" cy="0"/>
          </xdr:xfrm>
          <a:graphic>
            <a:graphicData uri="http://schemas.microsoft.com/office/drawing/2010/slicer">
              <sle:slicer xmlns:sle="http://schemas.microsoft.com/office/drawing/2010/slicer" name="Readmission"/>
            </a:graphicData>
          </a:graphic>
        </xdr:graphicFrame>
      </mc:Choice>
      <mc:Fallback xmlns="">
        <xdr:sp macro="" textlink="">
          <xdr:nvSpPr>
            <xdr:cNvPr id="0" name=""/>
            <xdr:cNvSpPr>
              <a:spLocks noTextEdit="1"/>
            </xdr:cNvSpPr>
          </xdr:nvSpPr>
          <xdr:spPr>
            <a:xfrm>
              <a:off x="107631" y="1079249"/>
              <a:ext cx="1543844" cy="687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107631</xdr:colOff>
      <xdr:row>9</xdr:row>
      <xdr:rowOff>129634</xdr:rowOff>
    </xdr:from>
    <xdr:to>
      <xdr:col>2</xdr:col>
      <xdr:colOff>441006</xdr:colOff>
      <xdr:row>13</xdr:row>
      <xdr:rowOff>50224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C0A7255D-9E53-4355-B8D4-28869204DD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631" y="1826275"/>
              <a:ext cx="1543844" cy="674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456406</xdr:colOff>
      <xdr:row>5</xdr:row>
      <xdr:rowOff>25245</xdr:rowOff>
    </xdr:from>
    <xdr:to>
      <xdr:col>13</xdr:col>
      <xdr:colOff>109141</xdr:colOff>
      <xdr:row>20</xdr:row>
      <xdr:rowOff>29561</xdr:rowOff>
    </xdr:to>
    <xdr:graphicFrame macro="">
      <xdr:nvGraphicFramePr>
        <xdr:cNvPr id="9" name="Chart 8">
          <a:extLst>
            <a:ext uri="{FF2B5EF4-FFF2-40B4-BE49-F238E27FC236}">
              <a16:creationId xmlns:a16="http://schemas.microsoft.com/office/drawing/2014/main" id="{EAFA1A87-64DF-44B7-9529-C3A812EFE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63939</xdr:colOff>
      <xdr:row>0</xdr:row>
      <xdr:rowOff>65947</xdr:rowOff>
    </xdr:from>
    <xdr:to>
      <xdr:col>5</xdr:col>
      <xdr:colOff>583484</xdr:colOff>
      <xdr:row>4</xdr:row>
      <xdr:rowOff>11828</xdr:rowOff>
    </xdr:to>
    <xdr:sp macro="" textlink="">
      <xdr:nvSpPr>
        <xdr:cNvPr id="14" name="Rectangle: Rounded Corners 13">
          <a:extLst>
            <a:ext uri="{FF2B5EF4-FFF2-40B4-BE49-F238E27FC236}">
              <a16:creationId xmlns:a16="http://schemas.microsoft.com/office/drawing/2014/main" id="{D3D5A396-C7FC-B35A-243B-415C0CDB5304}"/>
            </a:ext>
          </a:extLst>
        </xdr:cNvPr>
        <xdr:cNvSpPr/>
      </xdr:nvSpPr>
      <xdr:spPr>
        <a:xfrm>
          <a:off x="63939" y="65947"/>
          <a:ext cx="3563617" cy="6921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008080"/>
              </a:solidFill>
            </a:rPr>
            <a:t>PATIENT-ANALYSIS</a:t>
          </a:r>
          <a:r>
            <a:rPr lang="en-IN" sz="1800"/>
            <a:t> </a:t>
          </a:r>
          <a:r>
            <a:rPr lang="en-IN" sz="1800" b="1">
              <a:solidFill>
                <a:srgbClr val="008080"/>
              </a:solidFill>
            </a:rPr>
            <a:t>DASHBOARRD</a:t>
          </a:r>
        </a:p>
      </xdr:txBody>
    </xdr:sp>
    <xdr:clientData/>
  </xdr:twoCellAnchor>
  <xdr:twoCellAnchor editAs="oneCell">
    <xdr:from>
      <xdr:col>0</xdr:col>
      <xdr:colOff>97995</xdr:colOff>
      <xdr:row>20</xdr:row>
      <xdr:rowOff>7777</xdr:rowOff>
    </xdr:from>
    <xdr:to>
      <xdr:col>2</xdr:col>
      <xdr:colOff>446483</xdr:colOff>
      <xdr:row>26</xdr:row>
      <xdr:rowOff>188515</xdr:rowOff>
    </xdr:to>
    <mc:AlternateContent xmlns:mc="http://schemas.openxmlformats.org/markup-compatibility/2006" xmlns:a14="http://schemas.microsoft.com/office/drawing/2010/main">
      <mc:Choice Requires="a14">
        <xdr:graphicFrame macro="">
          <xdr:nvGraphicFramePr>
            <xdr:cNvPr id="16" name="age_group">
              <a:extLst>
                <a:ext uri="{FF2B5EF4-FFF2-40B4-BE49-F238E27FC236}">
                  <a16:creationId xmlns:a16="http://schemas.microsoft.com/office/drawing/2014/main" id="{D0832F37-C4E7-4B7D-8234-D177778CC38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7995" y="3778090"/>
              <a:ext cx="1558957" cy="1311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456407</xdr:colOff>
      <xdr:row>20</xdr:row>
      <xdr:rowOff>128984</xdr:rowOff>
    </xdr:from>
    <xdr:to>
      <xdr:col>15</xdr:col>
      <xdr:colOff>327422</xdr:colOff>
      <xdr:row>34</xdr:row>
      <xdr:rowOff>178593</xdr:rowOff>
    </xdr:to>
    <xdr:graphicFrame macro="">
      <xdr:nvGraphicFramePr>
        <xdr:cNvPr id="10" name="Chart 9">
          <a:extLst>
            <a:ext uri="{FF2B5EF4-FFF2-40B4-BE49-F238E27FC236}">
              <a16:creationId xmlns:a16="http://schemas.microsoft.com/office/drawing/2014/main" id="{A2C3B0C1-910F-4DFB-9C3B-F40C43C6D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79376</xdr:colOff>
      <xdr:row>27</xdr:row>
      <xdr:rowOff>59531</xdr:rowOff>
    </xdr:from>
    <xdr:to>
      <xdr:col>2</xdr:col>
      <xdr:colOff>426641</xdr:colOff>
      <xdr:row>34</xdr:row>
      <xdr:rowOff>158750</xdr:rowOff>
    </xdr:to>
    <mc:AlternateContent xmlns:mc="http://schemas.openxmlformats.org/markup-compatibility/2006" xmlns:a14="http://schemas.microsoft.com/office/drawing/2010/main">
      <mc:Choice Requires="a14">
        <xdr:graphicFrame macro="">
          <xdr:nvGraphicFramePr>
            <xdr:cNvPr id="17" name="Patient_State">
              <a:extLst>
                <a:ext uri="{FF2B5EF4-FFF2-40B4-BE49-F238E27FC236}">
                  <a16:creationId xmlns:a16="http://schemas.microsoft.com/office/drawing/2014/main" id="{42325695-CA8C-4E67-BD3B-EC0AAE9F4E29}"/>
                </a:ext>
              </a:extLst>
            </xdr:cNvPr>
            <xdr:cNvGraphicFramePr/>
          </xdr:nvGraphicFramePr>
          <xdr:xfrm>
            <a:off x="0" y="0"/>
            <a:ext cx="0" cy="0"/>
          </xdr:xfrm>
          <a:graphic>
            <a:graphicData uri="http://schemas.microsoft.com/office/drawing/2010/slicer">
              <sle:slicer xmlns:sle="http://schemas.microsoft.com/office/drawing/2010/slicer" name="Patient_State"/>
            </a:graphicData>
          </a:graphic>
        </xdr:graphicFrame>
      </mc:Choice>
      <mc:Fallback xmlns="">
        <xdr:sp macro="" textlink="">
          <xdr:nvSpPr>
            <xdr:cNvPr id="0" name=""/>
            <xdr:cNvSpPr>
              <a:spLocks noTextEdit="1"/>
            </xdr:cNvSpPr>
          </xdr:nvSpPr>
          <xdr:spPr>
            <a:xfrm>
              <a:off x="79376" y="5149453"/>
              <a:ext cx="1557734" cy="1418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406797</xdr:colOff>
      <xdr:row>20</xdr:row>
      <xdr:rowOff>128985</xdr:rowOff>
    </xdr:from>
    <xdr:to>
      <xdr:col>21</xdr:col>
      <xdr:colOff>486171</xdr:colOff>
      <xdr:row>34</xdr:row>
      <xdr:rowOff>188413</xdr:rowOff>
    </xdr:to>
    <xdr:graphicFrame macro="">
      <xdr:nvGraphicFramePr>
        <xdr:cNvPr id="18" name="Chart 17">
          <a:extLst>
            <a:ext uri="{FF2B5EF4-FFF2-40B4-BE49-F238E27FC236}">
              <a16:creationId xmlns:a16="http://schemas.microsoft.com/office/drawing/2014/main" id="{C0B4AA86-C112-41CF-AD83-1DF9D0F2C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89297</xdr:colOff>
      <xdr:row>13</xdr:row>
      <xdr:rowOff>79376</xdr:rowOff>
    </xdr:from>
    <xdr:to>
      <xdr:col>2</xdr:col>
      <xdr:colOff>446484</xdr:colOff>
      <xdr:row>19</xdr:row>
      <xdr:rowOff>178593</xdr:rowOff>
    </xdr:to>
    <mc:AlternateContent xmlns:mc="http://schemas.openxmlformats.org/markup-compatibility/2006" xmlns:a14="http://schemas.microsoft.com/office/drawing/2010/main">
      <mc:Choice Requires="a14">
        <xdr:graphicFrame macro="">
          <xdr:nvGraphicFramePr>
            <xdr:cNvPr id="19" name="Discharge Year">
              <a:extLst>
                <a:ext uri="{FF2B5EF4-FFF2-40B4-BE49-F238E27FC236}">
                  <a16:creationId xmlns:a16="http://schemas.microsoft.com/office/drawing/2014/main" id="{AB80BC22-7125-4D77-A34D-E9CA33D1A46A}"/>
                </a:ext>
              </a:extLst>
            </xdr:cNvPr>
            <xdr:cNvGraphicFramePr/>
          </xdr:nvGraphicFramePr>
          <xdr:xfrm>
            <a:off x="0" y="0"/>
            <a:ext cx="0" cy="0"/>
          </xdr:xfrm>
          <a:graphic>
            <a:graphicData uri="http://schemas.microsoft.com/office/drawing/2010/slicer">
              <sle:slicer xmlns:sle="http://schemas.microsoft.com/office/drawing/2010/slicer" name="Discharge Year"/>
            </a:graphicData>
          </a:graphic>
        </xdr:graphicFrame>
      </mc:Choice>
      <mc:Fallback xmlns="">
        <xdr:sp macro="" textlink="">
          <xdr:nvSpPr>
            <xdr:cNvPr id="0" name=""/>
            <xdr:cNvSpPr>
              <a:spLocks noTextEdit="1"/>
            </xdr:cNvSpPr>
          </xdr:nvSpPr>
          <xdr:spPr>
            <a:xfrm>
              <a:off x="89297" y="2530079"/>
              <a:ext cx="1567656" cy="1230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257969</xdr:colOff>
      <xdr:row>0</xdr:row>
      <xdr:rowOff>138906</xdr:rowOff>
    </xdr:from>
    <xdr:ext cx="1527969" cy="714375"/>
    <xdr:sp macro="" textlink="patient!$C$989">
      <xdr:nvSpPr>
        <xdr:cNvPr id="4" name="Rectangle: Rounded Corners 3">
          <a:extLst>
            <a:ext uri="{FF2B5EF4-FFF2-40B4-BE49-F238E27FC236}">
              <a16:creationId xmlns:a16="http://schemas.microsoft.com/office/drawing/2014/main" id="{337DD8BA-BC10-4C97-B684-A1A39F29FED9}"/>
            </a:ext>
          </a:extLst>
        </xdr:cNvPr>
        <xdr:cNvSpPr/>
      </xdr:nvSpPr>
      <xdr:spPr>
        <a:xfrm>
          <a:off x="3889375" y="138906"/>
          <a:ext cx="1527969" cy="714375"/>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349BA0A-E3EE-433F-8179-992BF67CA45F}" type="TxLink">
            <a:rPr lang="en-US" sz="2000" b="0" i="0" u="none" strike="noStrike">
              <a:solidFill>
                <a:srgbClr val="008080"/>
              </a:solidFill>
              <a:latin typeface="Times New Roman" panose="02020603050405020304" pitchFamily="18" charset="0"/>
              <a:ea typeface="+mn-ea"/>
              <a:cs typeface="Times New Roman" panose="02020603050405020304" pitchFamily="18" charset="0"/>
            </a:rPr>
            <a:pPr marL="0" indent="0" algn="ctr"/>
            <a:t>984</a:t>
          </a:fld>
          <a:endParaRPr lang="en-US" sz="2000" b="0" i="0" u="none" strike="noStrike">
            <a:solidFill>
              <a:srgbClr val="008080"/>
            </a:solidFill>
            <a:latin typeface="Times New Roman" panose="02020603050405020304" pitchFamily="18" charset="0"/>
            <a:ea typeface="+mn-ea"/>
            <a:cs typeface="Times New Roman" panose="02020603050405020304" pitchFamily="18" charset="0"/>
          </a:endParaRPr>
        </a:p>
        <a:p>
          <a:pPr marL="0" indent="0" algn="ctr"/>
          <a:r>
            <a:rPr lang="en-US" sz="1200" b="0" i="0" u="none" strike="noStrike">
              <a:solidFill>
                <a:srgbClr val="008080"/>
              </a:solidFill>
              <a:latin typeface="Times New Roman" panose="02020603050405020304" pitchFamily="18" charset="0"/>
              <a:ea typeface="+mn-ea"/>
              <a:cs typeface="Times New Roman" panose="02020603050405020304" pitchFamily="18" charset="0"/>
            </a:rPr>
            <a:t>Total-Patients</a:t>
          </a:r>
          <a:endParaRPr lang="en-IN" sz="1200" b="0" i="0" u="none" strike="noStrike">
            <a:solidFill>
              <a:srgbClr val="008080"/>
            </a:solidFill>
            <a:latin typeface="Times New Roman" panose="02020603050405020304" pitchFamily="18" charset="0"/>
            <a:ea typeface="+mn-ea"/>
            <a:cs typeface="Times New Roman" panose="02020603050405020304" pitchFamily="18" charset="0"/>
          </a:endParaRPr>
        </a:p>
      </xdr:txBody>
    </xdr:sp>
    <xdr:clientData/>
  </xdr:oneCellAnchor>
  <xdr:oneCellAnchor>
    <xdr:from>
      <xdr:col>12</xdr:col>
      <xdr:colOff>267890</xdr:colOff>
      <xdr:row>0</xdr:row>
      <xdr:rowOff>148827</xdr:rowOff>
    </xdr:from>
    <xdr:ext cx="1527969" cy="724297"/>
    <xdr:sp macro="" textlink="patient!$K$987">
      <xdr:nvSpPr>
        <xdr:cNvPr id="13" name="Rectangle: Rounded Corners 12">
          <a:extLst>
            <a:ext uri="{FF2B5EF4-FFF2-40B4-BE49-F238E27FC236}">
              <a16:creationId xmlns:a16="http://schemas.microsoft.com/office/drawing/2014/main" id="{93EDFC30-D420-4D66-B861-BA3B092F3C23}"/>
            </a:ext>
          </a:extLst>
        </xdr:cNvPr>
        <xdr:cNvSpPr/>
      </xdr:nvSpPr>
      <xdr:spPr>
        <a:xfrm>
          <a:off x="7530703" y="148827"/>
          <a:ext cx="1527969" cy="724297"/>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4BC5152-5D59-4DED-877D-4639A8FFC11B}" type="TxLink">
            <a:rPr lang="en-US" sz="2000" b="0" i="0" u="none" strike="noStrike">
              <a:solidFill>
                <a:srgbClr val="008080"/>
              </a:solidFill>
              <a:latin typeface="Times New Roman" panose="02020603050405020304" pitchFamily="18" charset="0"/>
              <a:ea typeface="+mn-ea"/>
              <a:cs typeface="Times New Roman" panose="02020603050405020304" pitchFamily="18" charset="0"/>
            </a:rPr>
            <a:pPr marL="0" indent="0" algn="ctr"/>
            <a:t>27%</a:t>
          </a:fld>
          <a:endParaRPr lang="en-US" sz="2000" b="0" i="0" u="none" strike="noStrike">
            <a:solidFill>
              <a:srgbClr val="008080"/>
            </a:solidFill>
            <a:latin typeface="Times New Roman" panose="02020603050405020304" pitchFamily="18" charset="0"/>
            <a:ea typeface="+mn-ea"/>
            <a:cs typeface="Times New Roman" panose="02020603050405020304" pitchFamily="18" charset="0"/>
          </a:endParaRPr>
        </a:p>
        <a:p>
          <a:pPr marL="0" indent="0" algn="ctr"/>
          <a:r>
            <a:rPr lang="en-US" sz="1200" b="0" i="0" u="none" strike="noStrike">
              <a:solidFill>
                <a:srgbClr val="008080"/>
              </a:solidFill>
              <a:latin typeface="Times New Roman" panose="02020603050405020304" pitchFamily="18" charset="0"/>
              <a:ea typeface="+mn-ea"/>
              <a:cs typeface="Times New Roman" panose="02020603050405020304" pitchFamily="18" charset="0"/>
            </a:rPr>
            <a:t>Readmission-Rate</a:t>
          </a:r>
          <a:endParaRPr lang="en-IN" sz="1200" b="0" i="0" u="none" strike="noStrike">
            <a:solidFill>
              <a:srgbClr val="008080"/>
            </a:solidFill>
            <a:latin typeface="Times New Roman" panose="02020603050405020304" pitchFamily="18" charset="0"/>
            <a:ea typeface="+mn-ea"/>
            <a:cs typeface="Times New Roman" panose="02020603050405020304" pitchFamily="18" charset="0"/>
          </a:endParaRPr>
        </a:p>
      </xdr:txBody>
    </xdr:sp>
    <xdr:clientData/>
  </xdr:oneCellAnchor>
  <xdr:oneCellAnchor>
    <xdr:from>
      <xdr:col>9</xdr:col>
      <xdr:colOff>277812</xdr:colOff>
      <xdr:row>0</xdr:row>
      <xdr:rowOff>138907</xdr:rowOff>
    </xdr:from>
    <xdr:ext cx="1478009" cy="714374"/>
    <xdr:sp macro="" textlink="patient!$L$987">
      <xdr:nvSpPr>
        <xdr:cNvPr id="15" name="Rectangle: Rounded Corners 14">
          <a:extLst>
            <a:ext uri="{FF2B5EF4-FFF2-40B4-BE49-F238E27FC236}">
              <a16:creationId xmlns:a16="http://schemas.microsoft.com/office/drawing/2014/main" id="{7EECBDAC-528B-4D92-A92B-8FC340064B1E}"/>
            </a:ext>
          </a:extLst>
        </xdr:cNvPr>
        <xdr:cNvSpPr/>
      </xdr:nvSpPr>
      <xdr:spPr>
        <a:xfrm>
          <a:off x="5724921" y="138907"/>
          <a:ext cx="1478009" cy="714374"/>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9C0F17F-0C2E-4D7E-8FF2-C4DE7F8B283E}" type="TxLink">
            <a:rPr lang="en-US" sz="2000" b="0" i="0" u="none" strike="noStrike">
              <a:solidFill>
                <a:srgbClr val="008080"/>
              </a:solidFill>
              <a:latin typeface="Times New Roman" panose="02020603050405020304" pitchFamily="18" charset="0"/>
              <a:ea typeface="+mn-ea"/>
              <a:cs typeface="Times New Roman" panose="02020603050405020304" pitchFamily="18" charset="0"/>
            </a:rPr>
            <a:pPr marL="0" indent="0" algn="ctr"/>
            <a:t>60%</a:t>
          </a:fld>
          <a:endParaRPr lang="en-US" sz="2000" b="0" i="0" u="none" strike="noStrike">
            <a:solidFill>
              <a:srgbClr val="008080"/>
            </a:solidFill>
            <a:latin typeface="Times New Roman" panose="02020603050405020304" pitchFamily="18" charset="0"/>
            <a:ea typeface="+mn-ea"/>
            <a:cs typeface="Times New Roman" panose="02020603050405020304" pitchFamily="18" charset="0"/>
          </a:endParaRPr>
        </a:p>
        <a:p>
          <a:pPr marL="0" indent="0" algn="ctr"/>
          <a:r>
            <a:rPr lang="en-US" sz="1200" b="0" i="0" u="none" strike="noStrike">
              <a:solidFill>
                <a:srgbClr val="008080"/>
              </a:solidFill>
              <a:latin typeface="Times New Roman" panose="02020603050405020304" pitchFamily="18" charset="0"/>
              <a:ea typeface="+mn-ea"/>
              <a:cs typeface="Times New Roman" panose="02020603050405020304" pitchFamily="18" charset="0"/>
            </a:rPr>
            <a:t>Recovery-Rate</a:t>
          </a:r>
          <a:endParaRPr lang="en-IN" sz="1200" b="0" i="0" u="none" strike="noStrike">
            <a:solidFill>
              <a:srgbClr val="008080"/>
            </a:solidFill>
            <a:latin typeface="Times New Roman" panose="02020603050405020304" pitchFamily="18" charset="0"/>
            <a:ea typeface="+mn-ea"/>
            <a:cs typeface="Times New Roman" panose="02020603050405020304" pitchFamily="18" charset="0"/>
          </a:endParaRPr>
        </a:p>
      </xdr:txBody>
    </xdr:sp>
    <xdr:clientData/>
  </xdr:oneCellAnchor>
  <xdr:oneCellAnchor>
    <xdr:from>
      <xdr:col>15</xdr:col>
      <xdr:colOff>277813</xdr:colOff>
      <xdr:row>0</xdr:row>
      <xdr:rowOff>148829</xdr:rowOff>
    </xdr:from>
    <xdr:ext cx="1666875" cy="724296"/>
    <xdr:sp macro="" textlink="patient!$M$991">
      <xdr:nvSpPr>
        <xdr:cNvPr id="21" name="Rectangle: Rounded Corners 20">
          <a:extLst>
            <a:ext uri="{FF2B5EF4-FFF2-40B4-BE49-F238E27FC236}">
              <a16:creationId xmlns:a16="http://schemas.microsoft.com/office/drawing/2014/main" id="{229890EE-DCC1-48EE-A4E0-D8CD1A219D6C}"/>
            </a:ext>
          </a:extLst>
        </xdr:cNvPr>
        <xdr:cNvSpPr/>
      </xdr:nvSpPr>
      <xdr:spPr>
        <a:xfrm>
          <a:off x="9356329" y="148829"/>
          <a:ext cx="1666875" cy="724296"/>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917C233-FC76-48FD-9796-0865B7EBD912}" type="TxLink">
            <a:rPr lang="en-US" sz="2000" b="0" i="0" u="none" strike="noStrike">
              <a:solidFill>
                <a:srgbClr val="008080"/>
              </a:solidFill>
              <a:latin typeface="Aptos Narrow"/>
              <a:ea typeface="+mn-ea"/>
              <a:cs typeface="+mn-cs"/>
            </a:rPr>
            <a:pPr marL="0" indent="0" algn="ctr"/>
            <a:t>3.6</a:t>
          </a:fld>
          <a:endParaRPr lang="en-US" sz="2000" b="0" i="0" u="none" strike="noStrike">
            <a:solidFill>
              <a:srgbClr val="008080"/>
            </a:solidFill>
            <a:latin typeface="Aptos Narrow"/>
            <a:ea typeface="+mn-ea"/>
            <a:cs typeface="+mn-cs"/>
          </a:endParaRPr>
        </a:p>
        <a:p>
          <a:pPr marL="0" indent="0" algn="ctr"/>
          <a:r>
            <a:rPr lang="en-US" sz="1200" b="0" i="0" u="none" strike="noStrike">
              <a:solidFill>
                <a:srgbClr val="008080"/>
              </a:solidFill>
              <a:latin typeface="Aptos Narrow"/>
              <a:ea typeface="+mn-ea"/>
              <a:cs typeface="+mn-cs"/>
            </a:rPr>
            <a:t>Average-Satisfaction</a:t>
          </a:r>
          <a:endParaRPr lang="en-IN" sz="1200" b="0" i="0" u="none" strike="noStrike">
            <a:solidFill>
              <a:srgbClr val="008080"/>
            </a:solidFill>
            <a:latin typeface="Aptos Narrow"/>
            <a:ea typeface="+mn-ea"/>
            <a:cs typeface="+mn-cs"/>
          </a:endParaRPr>
        </a:p>
      </xdr:txBody>
    </xdr:sp>
    <xdr:clientData/>
  </xdr:oneCellAnchor>
  <xdr:oneCellAnchor>
    <xdr:from>
      <xdr:col>18</xdr:col>
      <xdr:colOff>436562</xdr:colOff>
      <xdr:row>0</xdr:row>
      <xdr:rowOff>168671</xdr:rowOff>
    </xdr:from>
    <xdr:ext cx="1847850" cy="714375"/>
    <xdr:sp macro="" textlink="patient!$O$988">
      <xdr:nvSpPr>
        <xdr:cNvPr id="22" name="Rectangle: Rounded Corners 21">
          <a:extLst>
            <a:ext uri="{FF2B5EF4-FFF2-40B4-BE49-F238E27FC236}">
              <a16:creationId xmlns:a16="http://schemas.microsoft.com/office/drawing/2014/main" id="{C9323289-A4C5-4BC6-9074-99CAB4859B5C}"/>
            </a:ext>
          </a:extLst>
        </xdr:cNvPr>
        <xdr:cNvSpPr/>
      </xdr:nvSpPr>
      <xdr:spPr>
        <a:xfrm>
          <a:off x="11330781" y="168671"/>
          <a:ext cx="1847850" cy="714375"/>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04245BD-ED5A-4719-9ADE-02F15E57BB02}" type="TxLink">
            <a:rPr lang="en-US" sz="2000" b="0" i="0" u="none" strike="noStrike">
              <a:solidFill>
                <a:srgbClr val="008080"/>
              </a:solidFill>
              <a:latin typeface="Times New Roman" panose="02020603050405020304" pitchFamily="18" charset="0"/>
              <a:ea typeface="+mn-ea"/>
              <a:cs typeface="Times New Roman" panose="02020603050405020304" pitchFamily="18" charset="0"/>
            </a:rPr>
            <a:pPr marL="0" indent="0" algn="ctr"/>
            <a:t> ₹ 82,33,600 </a:t>
          </a:fld>
          <a:endParaRPr lang="en-US" sz="2000" b="0" i="0" u="none" strike="noStrike">
            <a:solidFill>
              <a:srgbClr val="008080"/>
            </a:solidFill>
            <a:latin typeface="Times New Roman" panose="02020603050405020304" pitchFamily="18" charset="0"/>
            <a:ea typeface="+mn-ea"/>
            <a:cs typeface="Times New Roman" panose="02020603050405020304" pitchFamily="18" charset="0"/>
          </a:endParaRPr>
        </a:p>
        <a:p>
          <a:pPr marL="0" indent="0" algn="ctr"/>
          <a:r>
            <a:rPr lang="en-US" sz="1200" b="0" i="0" u="none" strike="noStrike">
              <a:solidFill>
                <a:srgbClr val="008080"/>
              </a:solidFill>
              <a:latin typeface="Times New Roman" panose="02020603050405020304" pitchFamily="18" charset="0"/>
              <a:ea typeface="+mn-ea"/>
              <a:cs typeface="Times New Roman" panose="02020603050405020304" pitchFamily="18" charset="0"/>
            </a:rPr>
            <a:t>Total-Revenue</a:t>
          </a:r>
          <a:endParaRPr lang="en-IN" sz="1200" b="0" i="0" u="none" strike="noStrike">
            <a:solidFill>
              <a:srgbClr val="008080"/>
            </a:solidFill>
            <a:latin typeface="Times New Roman" panose="02020603050405020304" pitchFamily="18" charset="0"/>
            <a:ea typeface="+mn-ea"/>
            <a:cs typeface="Times New Roman" panose="02020603050405020304" pitchFamily="18"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1.797826273149" createdVersion="8" refreshedVersion="8" minRefreshableVersion="3" recordCount="984" xr:uid="{F8F758FD-F604-45F7-AB3D-EEBE84CA4591}">
  <cacheSource type="worksheet">
    <worksheetSource name="Hospital_Patient"/>
  </cacheSource>
  <cacheFields count="24">
    <cacheField name="Patient_ID" numFmtId="0">
      <sharedItems containsSemiMixedTypes="0" containsString="0" containsNumber="1" containsInteger="1" minValue="1" maxValue="984" count="98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sharedItems>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Medication "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Admission_Date" numFmtId="14">
      <sharedItems containsSemiMixedTypes="0" containsNonDate="0" containsDate="1" containsString="0" minDate="2022-01-01T00:00:00" maxDate="2025-12-31T00:00:00" count="709">
        <d v="2024-02-07T00:00:00"/>
        <d v="2023-03-11T00:00:00"/>
        <d v="2025-01-02T00:00:00"/>
        <d v="2023-12-30T00:00:00"/>
        <d v="2022-05-10T00:00:00"/>
        <d v="2025-06-27T00:00:00"/>
        <d v="2023-12-13T00:00:00"/>
        <d v="2022-07-28T00:00:00"/>
        <d v="2023-05-11T00:00:00"/>
        <d v="2023-04-25T00:00:00"/>
        <d v="2024-03-28T00:00:00"/>
        <d v="2025-05-05T00:00:00"/>
        <d v="2025-10-04T00:00:00"/>
        <d v="2025-09-24T00:00:00"/>
        <d v="2023-10-28T00:00:00"/>
        <d v="2022-10-27T00:00:00"/>
        <d v="2022-07-04T00:00:00"/>
        <d v="2025-10-25T00:00:00"/>
        <d v="2022-04-24T00:00:00"/>
        <d v="2024-01-29T00:00:00"/>
        <d v="2023-07-16T00:00:00"/>
        <d v="2022-01-17T00:00:00"/>
        <d v="2024-04-20T00:00:00"/>
        <d v="2024-07-16T00:00:00"/>
        <d v="2023-09-23T00:00:00"/>
        <d v="2025-02-25T00:00:00"/>
        <d v="2023-08-09T00:00:00"/>
        <d v="2022-04-05T00:00:00"/>
        <d v="2023-06-18T00:00:00"/>
        <d v="2023-04-29T00:00:00"/>
        <d v="2025-05-18T00:00:00"/>
        <d v="2024-07-22T00:00:00"/>
        <d v="2022-10-18T00:00:00"/>
        <d v="2025-02-07T00:00:00"/>
        <d v="2024-03-01T00:00:00"/>
        <d v="2022-08-10T00:00:00"/>
        <d v="2024-08-19T00:00:00"/>
        <d v="2022-09-19T00:00:00"/>
        <d v="2022-04-21T00:00:00"/>
        <d v="2024-03-20T00:00:00"/>
        <d v="2023-11-06T00:00:00"/>
        <d v="2025-12-26T00:00:00"/>
        <d v="2025-07-07T00:00:00"/>
        <d v="2025-08-06T00:00:00"/>
        <d v="2025-07-25T00:00:00"/>
        <d v="2024-07-15T00:00:00"/>
        <d v="2023-07-12T00:00:00"/>
        <d v="2025-10-26T00:00:00"/>
        <d v="2025-03-05T00:00:00"/>
        <d v="2024-04-27T00:00:00"/>
        <d v="2025-04-11T00:00:00"/>
        <d v="2023-08-13T00:00:00"/>
        <d v="2022-02-11T00:00:00"/>
        <d v="2025-01-17T00:00:00"/>
        <d v="2024-05-09T00:00:00"/>
        <d v="2024-02-16T00:00:00"/>
        <d v="2023-11-29T00:00:00"/>
        <d v="2024-10-03T00:00:00"/>
        <d v="2024-08-04T00:00:00"/>
        <d v="2025-02-09T00:00:00"/>
        <d v="2024-01-21T00:00:00"/>
        <d v="2023-05-25T00:00:00"/>
        <d v="2024-02-06T00:00:00"/>
        <d v="2023-10-04T00:00:00"/>
        <d v="2022-01-19T00:00:00"/>
        <d v="2024-04-17T00:00:00"/>
        <d v="2025-12-10T00:00:00"/>
        <d v="2023-04-20T00:00:00"/>
        <d v="2024-04-15T00:00:00"/>
        <d v="2023-10-24T00:00:00"/>
        <d v="2024-02-12T00:00:00"/>
        <d v="2024-07-25T00:00:00"/>
        <d v="2023-09-19T00:00:00"/>
        <d v="2025-12-04T00:00:00"/>
        <d v="2025-09-09T00:00:00"/>
        <d v="2022-02-19T00:00:00"/>
        <d v="2025-04-20T00:00:00"/>
        <d v="2022-05-30T00:00:00"/>
        <d v="2022-01-07T00:00:00"/>
        <d v="2025-04-26T00:00:00"/>
        <d v="2022-11-25T00:00:00"/>
        <d v="2023-06-30T00:00:00"/>
        <d v="2025-05-24T00:00:00"/>
        <d v="2023-10-09T00:00:00"/>
        <d v="2023-07-07T00:00:00"/>
        <d v="2025-05-23T00:00:00"/>
        <d v="2024-12-12T00:00:00"/>
        <d v="2025-12-18T00:00:00"/>
        <d v="2023-04-22T00:00:00"/>
        <d v="2022-11-19T00:00:00"/>
        <d v="2022-02-20T00:00:00"/>
        <d v="2022-10-01T00:00:00"/>
        <d v="2022-09-03T00:00:00"/>
        <d v="2022-09-25T00:00:00"/>
        <d v="2022-11-01T00:00:00"/>
        <d v="2022-11-29T00:00:00"/>
        <d v="2024-11-28T00:00:00"/>
        <d v="2023-11-19T00:00:00"/>
        <d v="2023-10-05T00:00:00"/>
        <d v="2024-09-02T00:00:00"/>
        <d v="2024-08-27T00:00:00"/>
        <d v="2025-08-07T00:00:00"/>
        <d v="2024-04-02T00:00:00"/>
        <d v="2024-05-19T00:00:00"/>
        <d v="2022-06-03T00:00:00"/>
        <d v="2023-07-21T00:00:00"/>
        <d v="2023-04-02T00:00:00"/>
        <d v="2024-04-28T00:00:00"/>
        <d v="2025-01-08T00:00:00"/>
        <d v="2024-08-23T00:00:00"/>
        <d v="2025-07-31T00:00:00"/>
        <d v="2023-05-10T00:00:00"/>
        <d v="2025-11-08T00:00:00"/>
        <d v="2024-08-16T00:00:00"/>
        <d v="2024-06-06T00:00:00"/>
        <d v="2025-12-21T00:00:00"/>
        <d v="2025-01-15T00:00:00"/>
        <d v="2025-02-18T00:00:00"/>
        <d v="2024-03-05T00:00:00"/>
        <d v="2023-06-22T00:00:00"/>
        <d v="2022-01-31T00:00:00"/>
        <d v="2025-05-10T00:00:00"/>
        <d v="2022-11-06T00:00:00"/>
        <d v="2023-12-17T00:00:00"/>
        <d v="2022-01-01T00:00:00"/>
        <d v="2023-03-20T00:00:00"/>
        <d v="2024-03-12T00:00:00"/>
        <d v="2023-09-18T00:00:00"/>
        <d v="2022-12-11T00:00:00"/>
        <d v="2024-12-25T00:00:00"/>
        <d v="2023-08-28T00:00:00"/>
        <d v="2024-08-30T00:00:00"/>
        <d v="2025-12-08T00:00:00"/>
        <d v="2025-11-19T00:00:00"/>
        <d v="2022-11-17T00:00:00"/>
        <d v="2024-09-05T00:00:00"/>
        <d v="2023-07-22T00:00:00"/>
        <d v="2025-09-13T00:00:00"/>
        <d v="2025-01-13T00:00:00"/>
        <d v="2025-05-30T00:00:00"/>
        <d v="2022-10-09T00:00:00"/>
        <d v="2023-07-01T00:00:00"/>
        <d v="2025-02-08T00:00:00"/>
        <d v="2024-06-07T00:00:00"/>
        <d v="2023-05-07T00:00:00"/>
        <d v="2023-05-01T00:00:00"/>
        <d v="2023-01-25T00:00:00"/>
        <d v="2025-04-09T00:00:00"/>
        <d v="2023-01-08T00:00:00"/>
        <d v="2025-03-03T00:00:00"/>
        <d v="2024-03-19T00:00:00"/>
        <d v="2022-08-04T00:00:00"/>
        <d v="2025-10-15T00:00:00"/>
        <d v="2023-09-07T00:00:00"/>
        <d v="2025-01-16T00:00:00"/>
        <d v="2023-04-24T00:00:00"/>
        <d v="2025-10-16T00:00:00"/>
        <d v="2024-12-29T00:00:00"/>
        <d v="2024-09-15T00:00:00"/>
        <d v="2024-12-05T00:00:00"/>
        <d v="2022-08-18T00:00:00"/>
        <d v="2023-10-02T00:00:00"/>
        <d v="2023-03-04T00:00:00"/>
        <d v="2025-08-09T00:00:00"/>
        <d v="2022-09-09T00:00:00"/>
        <d v="2022-06-11T00:00:00"/>
        <d v="2024-07-12T00:00:00"/>
        <d v="2023-05-30T00:00:00"/>
        <d v="2023-04-13T00:00:00"/>
        <d v="2024-05-17T00:00:00"/>
        <d v="2022-07-01T00:00:00"/>
        <d v="2024-06-23T00:00:00"/>
        <d v="2023-10-20T00:00:00"/>
        <d v="2022-02-07T00:00:00"/>
        <d v="2023-03-05T00:00:00"/>
        <d v="2024-02-20T00:00:00"/>
        <d v="2024-05-06T00:00:00"/>
        <d v="2025-04-16T00:00:00"/>
        <d v="2022-05-11T00:00:00"/>
        <d v="2023-03-01T00:00:00"/>
        <d v="2024-10-02T00:00:00"/>
        <d v="2024-03-24T00:00:00"/>
        <d v="2024-03-09T00:00:00"/>
        <d v="2024-09-30T00:00:00"/>
        <d v="2025-06-29T00:00:00"/>
        <d v="2023-09-28T00:00:00"/>
        <d v="2025-08-15T00:00:00"/>
        <d v="2023-09-09T00:00:00"/>
        <d v="2022-08-09T00:00:00"/>
        <d v="2023-06-11T00:00:00"/>
        <d v="2023-05-23T00:00:00"/>
        <d v="2025-01-04T00:00:00"/>
        <d v="2024-10-24T00:00:00"/>
        <d v="2024-09-08T00:00:00"/>
        <d v="2022-06-29T00:00:00"/>
        <d v="2023-03-18T00:00:00"/>
        <d v="2025-12-13T00:00:00"/>
        <d v="2023-04-15T00:00:00"/>
        <d v="2024-06-02T00:00:00"/>
        <d v="2022-03-31T00:00:00"/>
        <d v="2024-08-28T00:00:00"/>
        <d v="2024-07-20T00:00:00"/>
        <d v="2025-01-29T00:00:00"/>
        <d v="2022-04-06T00:00:00"/>
        <d v="2024-01-12T00:00:00"/>
        <d v="2025-09-04T00:00:00"/>
        <d v="2023-05-14T00:00:00"/>
        <d v="2024-10-30T00:00:00"/>
        <d v="2022-07-10T00:00:00"/>
        <d v="2024-09-17T00:00:00"/>
        <d v="2025-04-25T00:00:00"/>
        <d v="2023-03-19T00:00:00"/>
        <d v="2022-06-04T00:00:00"/>
        <d v="2023-06-23T00:00:00"/>
        <d v="2024-02-19T00:00:00"/>
        <d v="2023-10-13T00:00:00"/>
        <d v="2023-11-01T00:00:00"/>
        <d v="2025-11-09T00:00:00"/>
        <d v="2025-02-14T00:00:00"/>
        <d v="2024-02-18T00:00:00"/>
        <d v="2024-08-10T00:00:00"/>
        <d v="2023-07-10T00:00:00"/>
        <d v="2023-04-12T00:00:00"/>
        <d v="2022-03-05T00:00:00"/>
        <d v="2022-06-05T00:00:00"/>
        <d v="2023-12-29T00:00:00"/>
        <d v="2025-04-14T00:00:00"/>
        <d v="2022-06-23T00:00:00"/>
        <d v="2023-06-15T00:00:00"/>
        <d v="2022-08-14T00:00:00"/>
        <d v="2023-08-02T00:00:00"/>
        <d v="2022-06-27T00:00:00"/>
        <d v="2024-09-10T00:00:00"/>
        <d v="2022-09-01T00:00:00"/>
        <d v="2025-09-03T00:00:00"/>
        <d v="2025-07-12T00:00:00"/>
        <d v="2022-10-13T00:00:00"/>
        <d v="2024-11-12T00:00:00"/>
        <d v="2022-05-21T00:00:00"/>
        <d v="2025-07-29T00:00:00"/>
        <d v="2022-05-19T00:00:00"/>
        <d v="2023-03-14T00:00:00"/>
        <d v="2023-07-14T00:00:00"/>
        <d v="2025-03-21T00:00:00"/>
        <d v="2022-03-02T00:00:00"/>
        <d v="2023-05-09T00:00:00"/>
        <d v="2022-12-17T00:00:00"/>
        <d v="2023-05-22T00:00:00"/>
        <d v="2022-01-08T00:00:00"/>
        <d v="2024-01-01T00:00:00"/>
        <d v="2025-12-25T00:00:00"/>
        <d v="2024-03-10T00:00:00"/>
        <d v="2022-12-12T00:00:00"/>
        <d v="2022-11-26T00:00:00"/>
        <d v="2025-02-15T00:00:00"/>
        <d v="2022-02-24T00:00:00"/>
        <d v="2022-10-21T00:00:00"/>
        <d v="2023-05-06T00:00:00"/>
        <d v="2022-08-20T00:00:00"/>
        <d v="2023-04-11T00:00:00"/>
        <d v="2025-12-23T00:00:00"/>
        <d v="2024-05-15T00:00:00"/>
        <d v="2024-05-20T00:00:00"/>
        <d v="2025-09-16T00:00:00"/>
        <d v="2025-01-31T00:00:00"/>
        <d v="2025-09-30T00:00:00"/>
        <d v="2022-11-04T00:00:00"/>
        <d v="2025-11-04T00:00:00"/>
        <d v="2022-03-17T00:00:00"/>
        <d v="2025-10-19T00:00:00"/>
        <d v="2023-02-09T00:00:00"/>
        <d v="2024-09-14T00:00:00"/>
        <d v="2025-06-06T00:00:00"/>
        <d v="2023-05-05T00:00:00"/>
        <d v="2025-11-27T00:00:00"/>
        <d v="2024-04-21T00:00:00"/>
        <d v="2023-04-18T00:00:00"/>
        <d v="2022-02-05T00:00:00"/>
        <d v="2025-06-05T00:00:00"/>
        <d v="2023-04-07T00:00:00"/>
        <d v="2023-09-11T00:00:00"/>
        <d v="2022-05-06T00:00:00"/>
        <d v="2022-06-12T00:00:00"/>
        <d v="2025-03-16T00:00:00"/>
        <d v="2025-05-15T00:00:00"/>
        <d v="2023-12-18T00:00:00"/>
        <d v="2022-10-30T00:00:00"/>
        <d v="2024-01-06T00:00:00"/>
        <d v="2023-10-15T00:00:00"/>
        <d v="2023-08-10T00:00:00"/>
        <d v="2024-09-26T00:00:00"/>
        <d v="2023-01-24T00:00:00"/>
        <d v="2022-02-22T00:00:00"/>
        <d v="2022-02-02T00:00:00"/>
        <d v="2022-12-13T00:00:00"/>
        <d v="2024-12-27T00:00:00"/>
        <d v="2022-07-16T00:00:00"/>
        <d v="2023-02-01T00:00:00"/>
        <d v="2023-02-18T00:00:00"/>
        <d v="2023-08-06T00:00:00"/>
        <d v="2024-11-15T00:00:00"/>
        <d v="2025-01-14T00:00:00"/>
        <d v="2023-07-06T00:00:00"/>
        <d v="2023-12-28T00:00:00"/>
        <d v="2024-10-05T00:00:00"/>
        <d v="2023-09-26T00:00:00"/>
        <d v="2022-04-25T00:00:00"/>
        <d v="2024-11-02T00:00:00"/>
        <d v="2025-08-18T00:00:00"/>
        <d v="2024-03-27T00:00:00"/>
        <d v="2025-06-03T00:00:00"/>
        <d v="2024-12-17T00:00:00"/>
        <d v="2023-11-26T00:00:00"/>
        <d v="2022-09-13T00:00:00"/>
        <d v="2022-01-13T00:00:00"/>
        <d v="2024-06-09T00:00:00"/>
        <d v="2025-05-03T00:00:00"/>
        <d v="2025-01-23T00:00:00"/>
        <d v="2024-01-22T00:00:00"/>
        <d v="2022-06-02T00:00:00"/>
        <d v="2024-05-03T00:00:00"/>
        <d v="2022-08-27T00:00:00"/>
        <d v="2025-07-06T00:00:00"/>
        <d v="2025-06-01T00:00:00"/>
        <d v="2022-10-20T00:00:00"/>
        <d v="2024-02-29T00:00:00"/>
        <d v="2023-04-09T00:00:00"/>
        <d v="2022-12-20T00:00:00"/>
        <d v="2025-03-31T00:00:00"/>
        <d v="2024-08-05T00:00:00"/>
        <d v="2023-10-08T00:00:00"/>
        <d v="2023-08-17T00:00:00"/>
        <d v="2025-12-27T00:00:00"/>
        <d v="2025-04-02T00:00:00"/>
        <d v="2023-09-16T00:00:00"/>
        <d v="2024-12-15T00:00:00"/>
        <d v="2023-04-08T00:00:00"/>
        <d v="2023-04-17T00:00:00"/>
        <d v="2023-01-15T00:00:00"/>
        <d v="2024-08-12T00:00:00"/>
        <d v="2022-09-12T00:00:00"/>
        <d v="2023-11-04T00:00:00"/>
        <d v="2022-10-24T00:00:00"/>
        <d v="2022-09-05T00:00:00"/>
        <d v="2022-11-08T00:00:00"/>
        <d v="2025-11-01T00:00:00"/>
        <d v="2022-12-15T00:00:00"/>
        <d v="2025-07-24T00:00:00"/>
        <d v="2024-08-02T00:00:00"/>
        <d v="2024-01-11T00:00:00"/>
        <d v="2025-07-10T00:00:00"/>
        <d v="2024-11-29T00:00:00"/>
        <d v="2024-03-03T00:00:00"/>
        <d v="2024-02-24T00:00:00"/>
        <d v="2024-04-07T00:00:00"/>
        <d v="2025-05-04T00:00:00"/>
        <d v="2022-01-24T00:00:00"/>
        <d v="2023-11-21T00:00:00"/>
        <d v="2023-01-29T00:00:00"/>
        <d v="2022-11-03T00:00:00"/>
        <d v="2022-09-22T00:00:00"/>
        <d v="2024-09-19T00:00:00"/>
        <d v="2023-12-02T00:00:00"/>
        <d v="2024-06-21T00:00:00"/>
        <d v="2023-03-23T00:00:00"/>
        <d v="2022-10-17T00:00:00"/>
        <d v="2023-03-31T00:00:00"/>
        <d v="2022-03-24T00:00:00"/>
        <d v="2022-08-23T00:00:00"/>
        <d v="2023-12-09T00:00:00"/>
        <d v="2025-11-12T00:00:00"/>
        <d v="2025-02-03T00:00:00"/>
        <d v="2024-02-27T00:00:00"/>
        <d v="2022-02-09T00:00:00"/>
        <d v="2024-05-08T00:00:00"/>
        <d v="2025-07-28T00:00:00"/>
        <d v="2025-05-08T00:00:00"/>
        <d v="2024-03-17T00:00:00"/>
        <d v="2025-02-10T00:00:00"/>
        <d v="2023-06-14T00:00:00"/>
        <d v="2023-04-28T00:00:00"/>
        <d v="2025-03-01T00:00:00"/>
        <d v="2024-03-31T00:00:00"/>
        <d v="2024-08-17T00:00:00"/>
        <d v="2022-04-23T00:00:00"/>
        <d v="2022-07-20T00:00:00"/>
        <d v="2022-04-17T00:00:00"/>
        <d v="2022-01-14T00:00:00"/>
        <d v="2023-03-29T00:00:00"/>
        <d v="2022-05-25T00:00:00"/>
        <d v="2025-11-17T00:00:00"/>
        <d v="2024-10-31T00:00:00"/>
        <d v="2024-11-14T00:00:00"/>
        <d v="2022-07-25T00:00:00"/>
        <d v="2023-07-05T00:00:00"/>
        <d v="2025-08-31T00:00:00"/>
        <d v="2025-10-22T00:00:00"/>
        <d v="2023-02-15T00:00:00"/>
        <d v="2023-10-06T00:00:00"/>
        <d v="2024-06-28T00:00:00"/>
        <d v="2024-01-16T00:00:00"/>
        <d v="2022-05-05T00:00:00"/>
        <d v="2024-04-23T00:00:00"/>
        <d v="2023-04-30T00:00:00"/>
        <d v="2024-03-02T00:00:00"/>
        <d v="2025-01-27T00:00:00"/>
        <d v="2024-10-14T00:00:00"/>
        <d v="2022-11-20T00:00:00"/>
        <d v="2022-04-18T00:00:00"/>
        <d v="2023-03-02T00:00:00"/>
        <d v="2025-01-07T00:00:00"/>
        <d v="2022-10-28T00:00:00"/>
        <d v="2023-12-16T00:00:00"/>
        <d v="2023-01-04T00:00:00"/>
        <d v="2022-12-19T00:00:00"/>
        <d v="2025-10-18T00:00:00"/>
        <d v="2024-10-29T00:00:00"/>
        <d v="2023-01-12T00:00:00"/>
        <d v="2025-04-08T00:00:00"/>
        <d v="2025-04-15T00:00:00"/>
        <d v="2023-09-14T00:00:00"/>
        <d v="2025-09-27T00:00:00"/>
        <d v="2022-02-06T00:00:00"/>
        <d v="2024-08-09T00:00:00"/>
        <d v="2024-01-07T00:00:00"/>
        <d v="2025-04-10T00:00:00"/>
        <d v="2023-08-11T00:00:00"/>
        <d v="2025-07-19T00:00:00"/>
        <d v="2024-06-30T00:00:00"/>
        <d v="2024-06-25T00:00:00"/>
        <d v="2023-12-27T00:00:00"/>
        <d v="2023-04-26T00:00:00"/>
        <d v="2023-12-20T00:00:00"/>
        <d v="2023-08-20T00:00:00"/>
        <d v="2024-08-03T00:00:00"/>
        <d v="2024-07-21T00:00:00"/>
        <d v="2022-05-09T00:00:00"/>
        <d v="2023-03-25T00:00:00"/>
        <d v="2024-10-18T00:00:00"/>
        <d v="2025-04-29T00:00:00"/>
        <d v="2022-07-12T00:00:00"/>
        <d v="2022-03-16T00:00:00"/>
        <d v="2023-08-21T00:00:00"/>
        <d v="2023-10-30T00:00:00"/>
        <d v="2023-12-24T00:00:00"/>
        <d v="2022-03-04T00:00:00"/>
        <d v="2022-03-28T00:00:00"/>
        <d v="2025-05-02T00:00:00"/>
        <d v="2022-06-30T00:00:00"/>
        <d v="2022-03-19T00:00:00"/>
        <d v="2025-03-19T00:00:00"/>
        <d v="2024-09-20T00:00:00"/>
        <d v="2023-05-17T00:00:00"/>
        <d v="2025-01-25T00:00:00"/>
        <d v="2023-07-18T00:00:00"/>
        <d v="2023-09-15T00:00:00"/>
        <d v="2022-12-14T00:00:00"/>
        <d v="2024-12-31T00:00:00"/>
        <d v="2024-04-14T00:00:00"/>
        <d v="2024-09-06T00:00:00"/>
        <d v="2025-09-10T00:00:00"/>
        <d v="2022-02-08T00:00:00"/>
        <d v="2022-01-29T00:00:00"/>
        <d v="2024-11-21T00:00:00"/>
        <d v="2024-01-20T00:00:00"/>
        <d v="2022-08-31T00:00:00"/>
        <d v="2024-03-15T00:00:00"/>
        <d v="2022-05-24T00:00:00"/>
        <d v="2023-10-11T00:00:00"/>
        <d v="2025-02-24T00:00:00"/>
        <d v="2024-07-18T00:00:00"/>
        <d v="2024-04-13T00:00:00"/>
        <d v="2022-01-21T00:00:00"/>
        <d v="2024-05-29T00:00:00"/>
        <d v="2023-06-03T00:00:00"/>
        <d v="2024-01-18T00:00:00"/>
        <d v="2023-01-21T00:00:00"/>
        <d v="2024-08-21T00:00:00"/>
        <d v="2022-05-22T00:00:00"/>
        <d v="2025-12-30T00:00:00"/>
        <d v="2025-09-18T00:00:00"/>
        <d v="2023-09-13T00:00:00"/>
        <d v="2025-01-21T00:00:00"/>
        <d v="2022-08-21T00:00:00"/>
        <d v="2022-12-03T00:00:00"/>
        <d v="2025-10-23T00:00:00"/>
        <d v="2024-11-01T00:00:00"/>
        <d v="2023-12-25T00:00:00"/>
        <d v="2024-05-18T00:00:00"/>
        <d v="2022-05-12T00:00:00"/>
        <d v="2022-03-29T00:00:00"/>
        <d v="2024-05-26T00:00:00"/>
        <d v="2024-08-08T00:00:00"/>
        <d v="2025-11-13T00:00:00"/>
        <d v="2024-11-07T00:00:00"/>
        <d v="2022-02-10T00:00:00"/>
        <d v="2025-02-28T00:00:00"/>
        <d v="2023-12-08T00:00:00"/>
        <d v="2024-10-23T00:00:00"/>
        <d v="2023-02-02T00:00:00"/>
        <d v="2025-08-17T00:00:00"/>
        <d v="2022-11-30T00:00:00"/>
        <d v="2023-05-26T00:00:00"/>
        <d v="2024-06-16T00:00:00"/>
        <d v="2023-01-09T00:00:00"/>
        <d v="2022-08-17T00:00:00"/>
        <d v="2024-09-28T00:00:00"/>
        <d v="2024-05-21T00:00:00"/>
        <d v="2022-03-06T00:00:00"/>
        <d v="2024-08-20T00:00:00"/>
        <d v="2025-01-24T00:00:00"/>
        <d v="2023-10-17T00:00:00"/>
        <d v="2023-11-20T00:00:00"/>
        <d v="2022-07-24T00:00:00"/>
        <d v="2025-10-01T00:00:00"/>
        <d v="2024-11-23T00:00:00"/>
        <d v="2024-05-12T00:00:00"/>
        <d v="2024-04-22T00:00:00"/>
        <d v="2022-07-03T00:00:00"/>
        <d v="2024-08-31T00:00:00"/>
        <d v="2024-02-08T00:00:00"/>
        <d v="2022-04-08T00:00:00"/>
        <d v="2025-10-27T00:00:00"/>
        <d v="2023-02-06T00:00:00"/>
        <d v="2024-10-01T00:00:00"/>
        <d v="2025-10-29T00:00:00"/>
        <d v="2024-05-11T00:00:00"/>
        <d v="2025-11-03T00:00:00"/>
        <d v="2023-03-24T00:00:00"/>
        <d v="2025-09-08T00:00:00"/>
        <d v="2022-03-25T00:00:00"/>
        <d v="2024-01-02T00:00:00"/>
        <d v="2025-03-07T00:00:00"/>
        <d v="2025-03-04T00:00:00"/>
        <d v="2022-11-22T00:00:00"/>
        <d v="2024-06-11T00:00:00"/>
        <d v="2023-04-14T00:00:00"/>
        <d v="2022-11-07T00:00:00"/>
        <d v="2023-08-24T00:00:00"/>
        <d v="2024-05-16T00:00:00"/>
        <d v="2023-04-21T00:00:00"/>
        <d v="2023-12-21T00:00:00"/>
        <d v="2023-06-01T00:00:00"/>
        <d v="2025-04-27T00:00:00"/>
        <d v="2025-02-19T00:00:00"/>
        <d v="2024-06-18T00:00:00"/>
        <d v="2025-08-23T00:00:00"/>
        <d v="2025-08-30T00:00:00"/>
        <d v="2025-08-03T00:00:00"/>
        <d v="2023-02-07T00:00:00"/>
        <d v="2023-01-13T00:00:00"/>
        <d v="2024-01-25T00:00:00"/>
        <d v="2025-07-13T00:00:00"/>
        <d v="2023-09-24T00:00:00"/>
        <d v="2024-05-24T00:00:00"/>
        <d v="2023-08-05T00:00:00"/>
        <d v="2023-11-05T00:00:00"/>
        <d v="2022-06-22T00:00:00"/>
        <d v="2022-12-25T00:00:00"/>
        <d v="2022-07-18T00:00:00"/>
        <d v="2023-07-24T00:00:00"/>
        <d v="2023-11-11T00:00:00"/>
        <d v="2022-09-17T00:00:00"/>
        <d v="2022-12-22T00:00:00"/>
        <d v="2025-02-22T00:00:00"/>
        <d v="2022-06-09T00:00:00"/>
        <d v="2022-01-02T00:00:00"/>
        <d v="2022-07-30T00:00:00"/>
        <d v="2022-08-29T00:00:00"/>
        <d v="2022-12-28T00:00:00"/>
        <d v="2022-02-28T00:00:00"/>
        <d v="2022-10-11T00:00:00"/>
        <d v="2023-10-19T00:00:00"/>
        <d v="2025-09-06T00:00:00"/>
        <d v="2022-06-28T00:00:00"/>
        <d v="2022-09-16T00:00:00"/>
        <d v="2025-03-15T00:00:00"/>
        <d v="2024-12-19T00:00:00"/>
        <d v="2022-11-14T00:00:00"/>
        <d v="2025-07-03T00:00:00"/>
        <d v="2023-08-29T00:00:00"/>
        <d v="2022-04-07T00:00:00"/>
        <d v="2024-11-22T00:00:00"/>
        <d v="2025-10-06T00:00:00"/>
        <d v="2025-02-17T00:00:00"/>
        <d v="2024-12-26T00:00:00"/>
        <d v="2025-01-10T00:00:00"/>
        <d v="2022-07-06T00:00:00"/>
        <d v="2025-11-20T00:00:00"/>
        <d v="2025-05-13T00:00:00"/>
        <d v="2022-06-16T00:00:00"/>
        <d v="2023-01-31T00:00:00"/>
        <d v="2025-05-19T00:00:00"/>
        <d v="2022-04-12T00:00:00"/>
        <d v="2022-07-13T00:00:00"/>
        <d v="2022-03-09T00:00:00"/>
        <d v="2023-07-28T00:00:00"/>
        <d v="2023-06-17T00:00:00"/>
        <d v="2024-05-05T00:00:00"/>
        <d v="2025-11-23T00:00:00"/>
        <d v="2024-02-13T00:00:00"/>
        <d v="2023-12-31T00:00:00"/>
        <d v="2022-09-11T00:00:00"/>
        <d v="2022-10-23T00:00:00"/>
        <d v="2025-04-06T00:00:00"/>
        <d v="2022-06-07T00:00:00"/>
        <d v="2022-08-01T00:00:00"/>
        <d v="2022-11-18T00:00:00"/>
        <d v="2024-03-16T00:00:00"/>
        <d v="2022-12-06T00:00:00"/>
        <d v="2023-10-27T00:00:00"/>
        <d v="2025-08-20T00:00:00"/>
        <d v="2022-01-16T00:00:00"/>
        <d v="2025-09-21T00:00:00"/>
        <d v="2022-03-10T00:00:00"/>
        <d v="2025-12-05T00:00:00"/>
        <d v="2025-12-22T00:00:00"/>
        <d v="2025-05-22T00:00:00"/>
        <d v="2023-12-07T00:00:00"/>
        <d v="2025-12-20T00:00:00"/>
        <d v="2025-07-22T00:00:00"/>
        <d v="2024-10-16T00:00:00"/>
        <d v="2025-05-26T00:00:00"/>
        <d v="2022-04-29T00:00:00"/>
        <d v="2024-09-23T00:00:00"/>
        <d v="2023-03-26T00:00:00"/>
        <d v="2023-09-03T00:00:00"/>
        <d v="2022-07-27T00:00:00"/>
        <d v="2022-06-01T00:00:00"/>
        <d v="2025-01-11T00:00:00"/>
        <d v="2022-08-05T00:00:00"/>
        <d v="2022-08-16T00:00:00"/>
        <d v="2023-06-05T00:00:00"/>
        <d v="2024-10-22T00:00:00"/>
        <d v="2024-12-01T00:00:00"/>
        <d v="2025-03-24T00:00:00"/>
        <d v="2022-02-16T00:00:00"/>
        <d v="2023-11-10T00:00:00"/>
        <d v="2025-08-08T00:00:00"/>
        <d v="2024-02-03T00:00:00"/>
        <d v="2023-02-13T00:00:00"/>
        <d v="2024-01-28T00:00:00"/>
        <d v="2023-08-19T00:00:00"/>
        <d v="2023-03-09T00:00:00"/>
        <d v="2023-05-18T00:00:00"/>
        <d v="2025-07-27T00:00:00"/>
        <d v="2023-02-20T00:00:00"/>
        <d v="2025-06-12T00:00:00"/>
        <d v="2022-01-26T00:00:00"/>
        <d v="2023-07-27T00:00:00"/>
        <d v="2023-11-15T00:00:00"/>
        <d v="2022-08-25T00:00:00"/>
        <d v="2022-11-24T00:00:00"/>
        <d v="2022-12-02T00:00:00"/>
        <d v="2025-05-12T00:00:00"/>
        <d v="2022-10-08T00:00:00"/>
        <d v="2025-10-12T00:00:00"/>
        <d v="2025-06-22T00:00:00"/>
        <d v="2023-01-10T00:00:00"/>
        <d v="2025-06-13T00:00:00"/>
        <d v="2023-01-22T00:00:00"/>
        <d v="2022-02-12T00:00:00"/>
        <d v="2023-07-13T00:00:00"/>
        <d v="2023-09-22T00:00:00"/>
        <d v="2024-05-25T00:00:00"/>
        <d v="2025-09-14T00:00:00"/>
        <d v="2022-05-03T00:00:00"/>
        <d v="2023-01-28T00:00:00"/>
        <d v="2023-04-05T00:00:00"/>
        <d v="2025-06-08T00:00:00"/>
        <d v="2023-06-19T00:00:00"/>
        <d v="2024-11-30T00:00:00"/>
        <d v="2024-12-06T00:00:00"/>
        <d v="2025-06-25T00:00:00"/>
        <d v="2025-11-16T00:00:00"/>
        <d v="2023-02-26T00:00:00"/>
        <d v="2023-12-26T00:00:00"/>
        <d v="2023-04-23T00:00:00"/>
        <d v="2022-03-15T00:00:00"/>
        <d v="2024-03-25T00:00:00"/>
        <d v="2022-06-10T00:00:00"/>
        <d v="2025-03-13T00:00:00"/>
        <d v="2023-03-07T00:00:00"/>
        <d v="2023-02-19T00:00:00"/>
        <d v="2023-02-04T00:00:00"/>
        <d v="2023-01-05T00:00:00"/>
        <d v="2024-11-10T00:00:00"/>
        <d v="2023-11-17T00:00:00"/>
        <d v="2022-05-20T00:00:00"/>
        <d v="2022-05-13T00:00:00"/>
        <d v="2024-04-11T00:00:00"/>
        <d v="2023-01-06T00:00:00"/>
        <d v="2022-10-29T00:00:00"/>
        <d v="2022-04-22T00:00:00"/>
        <d v="2025-04-24T00:00:00"/>
        <d v="2024-10-09T00:00:00"/>
        <d v="2023-08-30T00:00:00"/>
        <d v="2024-02-09T00:00:00"/>
        <d v="2023-02-25T00:00:00"/>
        <d v="2024-05-10T00:00:00"/>
        <d v="2024-03-13T00:00:00"/>
        <d v="2022-09-23T00:00:00"/>
        <d v="2022-05-01T00:00:00"/>
        <d v="2022-02-21T00:00:00"/>
        <d v="2022-04-14T00:00:00"/>
        <d v="2023-02-28T00:00:00"/>
        <d v="2024-02-28T00:00:00"/>
        <d v="2025-02-20T00:00:00"/>
        <d v="2024-09-07T00:00:00"/>
      </sharedItems>
      <fieldGroup par="20"/>
    </cacheField>
    <cacheField name="Discharge_Date" numFmtId="14">
      <sharedItems containsSemiMixedTypes="0" containsNonDate="0" containsDate="1" containsString="0" minDate="2022-01-11T00:00:00" maxDate="2026-02-26T00:00:00" count="723">
        <d v="2024-02-12T00:00:00"/>
        <d v="2023-03-14T00:00:00"/>
        <d v="2025-01-03T00:00:00"/>
        <d v="2024-01-06T00:00:00"/>
        <d v="2022-05-20T00:00:00"/>
        <d v="2025-06-29T00:00:00"/>
        <d v="2023-12-17T00:00:00"/>
        <d v="2022-08-03T00:00:00"/>
        <d v="2023-05-19T00:00:00"/>
        <d v="2023-04-26T00:00:00"/>
        <d v="2024-03-30T00:00:00"/>
        <d v="2025-05-14T00:00:00"/>
        <d v="2025-10-07T00:00:00"/>
        <d v="2025-09-28T00:00:00"/>
        <d v="2023-11-02T00:00:00"/>
        <d v="2022-11-02T00:00:00"/>
        <d v="2022-07-08T00:00:00"/>
        <d v="2025-10-27T00:00:00"/>
        <d v="2022-05-02T00:00:00"/>
        <d v="2024-02-09T00:00:00"/>
        <d v="2023-07-19T00:00:00"/>
        <d v="2022-01-22T00:00:00"/>
        <d v="2024-04-27T00:00:00"/>
        <d v="2024-07-25T00:00:00"/>
        <d v="2023-09-25T00:00:00"/>
        <d v="2025-02-28T00:00:00"/>
        <d v="2023-08-19T00:00:00"/>
        <d v="2022-04-09T00:00:00"/>
        <d v="2023-06-23T00:00:00"/>
        <d v="2023-05-05T00:00:00"/>
        <d v="2025-05-25T00:00:00"/>
        <d v="2024-07-27T00:00:00"/>
        <d v="2022-10-21T00:00:00"/>
        <d v="2025-02-16T00:00:00"/>
        <d v="2024-03-13T00:00:00"/>
        <d v="2022-08-14T00:00:00"/>
        <d v="2024-08-25T00:00:00"/>
        <d v="2022-09-27T00:00:00"/>
        <d v="2022-05-01T00:00:00"/>
        <d v="2024-03-23T00:00:00"/>
        <d v="2023-11-10T00:00:00"/>
        <d v="2026-01-06T00:00:00"/>
        <d v="2025-07-12T00:00:00"/>
        <d v="2025-08-12T00:00:00"/>
        <d v="2025-08-01T00:00:00"/>
        <d v="2023-11-05T00:00:00"/>
        <d v="2024-07-21T00:00:00"/>
        <d v="2023-07-16T00:00:00"/>
        <d v="2025-11-05T00:00:00"/>
        <d v="2025-03-18T00:00:00"/>
        <d v="2024-05-02T00:00:00"/>
        <d v="2025-04-18T00:00:00"/>
        <d v="2023-08-22T00:00:00"/>
        <d v="2022-02-22T00:00:00"/>
        <d v="2025-01-21T00:00:00"/>
        <d v="2024-05-14T00:00:00"/>
        <d v="2024-02-28T00:00:00"/>
        <d v="2023-12-05T00:00:00"/>
        <d v="2024-10-10T00:00:00"/>
        <d v="2024-08-13T00:00:00"/>
        <d v="2024-01-26T00:00:00"/>
        <d v="2023-06-05T00:00:00"/>
        <d v="2024-02-20T00:00:00"/>
        <d v="2023-10-10T00:00:00"/>
        <d v="2022-01-27T00:00:00"/>
        <d v="2025-12-22T00:00:00"/>
        <d v="2023-04-25T00:00:00"/>
        <d v="2024-04-21T00:00:00"/>
        <d v="2023-11-06T00:00:00"/>
        <d v="2024-02-19T00:00:00"/>
        <d v="2024-08-02T00:00:00"/>
        <d v="2023-09-28T00:00:00"/>
        <d v="2025-12-14T00:00:00"/>
        <d v="2025-09-17T00:00:00"/>
        <d v="2022-02-25T00:00:00"/>
        <d v="2025-05-02T00:00:00"/>
        <d v="2022-06-14T00:00:00"/>
        <d v="2022-01-14T00:00:00"/>
        <d v="2025-05-05T00:00:00"/>
        <d v="2025-12-21T00:00:00"/>
        <d v="2022-12-08T00:00:00"/>
        <d v="2023-07-06T00:00:00"/>
        <d v="2025-05-31T00:00:00"/>
        <d v="2025-10-08T00:00:00"/>
        <d v="2023-10-17T00:00:00"/>
        <d v="2025-06-02T00:00:00"/>
        <d v="2024-12-23T00:00:00"/>
        <d v="2025-12-27T00:00:00"/>
        <d v="2023-04-29T00:00:00"/>
        <d v="2022-12-02T00:00:00"/>
        <d v="2022-03-08T00:00:00"/>
        <d v="2022-10-09T00:00:00"/>
        <d v="2022-09-13T00:00:00"/>
        <d v="2022-10-07T00:00:00"/>
        <d v="2022-11-15T00:00:00"/>
        <d v="2022-12-06T00:00:00"/>
        <d v="2024-12-06T00:00:00"/>
        <d v="2023-12-04T00:00:00"/>
        <d v="2023-10-14T00:00:00"/>
        <d v="2024-09-12T00:00:00"/>
        <d v="2024-09-07T00:00:00"/>
        <d v="2025-08-19T00:00:00"/>
        <d v="2024-04-12T00:00:00"/>
        <d v="2024-05-27T00:00:00"/>
        <d v="2022-06-17T00:00:00"/>
        <d v="2023-08-07T00:00:00"/>
        <d v="2023-04-11T00:00:00"/>
        <d v="2024-05-09T00:00:00"/>
        <d v="2025-08-08T00:00:00"/>
        <d v="2025-11-24T00:00:00"/>
        <d v="2024-08-26T00:00:00"/>
        <d v="2024-06-17T00:00:00"/>
        <d v="2026-01-02T00:00:00"/>
        <d v="2025-01-26T00:00:00"/>
        <d v="2025-02-27T00:00:00"/>
        <d v="2024-03-20T00:00:00"/>
        <d v="2023-07-10T00:00:00"/>
        <d v="2022-02-10T00:00:00"/>
        <d v="2025-05-22T00:00:00"/>
        <d v="2023-12-03T00:00:00"/>
        <d v="2022-11-22T00:00:00"/>
        <d v="2023-12-26T00:00:00"/>
        <d v="2022-01-11T00:00:00"/>
        <d v="2023-04-06T00:00:00"/>
        <d v="2023-09-30T00:00:00"/>
        <d v="2022-12-24T00:00:00"/>
        <d v="2024-12-12T00:00:00"/>
        <d v="2025-01-06T00:00:00"/>
        <d v="2023-09-07T00:00:00"/>
        <d v="2024-09-15T00:00:00"/>
        <d v="2025-11-30T00:00:00"/>
        <d v="2022-11-30T00:00:00"/>
        <d v="2024-09-20T00:00:00"/>
        <d v="2023-05-16T00:00:00"/>
        <d v="2023-08-01T00:00:00"/>
        <d v="2025-09-24T00:00:00"/>
        <d v="2025-01-31T00:00:00"/>
        <d v="2025-06-11T00:00:00"/>
        <d v="2022-10-22T00:00:00"/>
        <d v="2023-07-15T00:00:00"/>
        <d v="2025-02-23T00:00:00"/>
        <d v="2024-06-20T00:00:00"/>
        <d v="2023-05-18T00:00:00"/>
        <d v="2023-02-14T00:00:00"/>
        <d v="2025-04-21T00:00:00"/>
        <d v="2023-01-22T00:00:00"/>
        <d v="2025-03-19T00:00:00"/>
        <d v="2024-04-06T00:00:00"/>
        <d v="2022-08-15T00:00:00"/>
        <d v="2023-09-26T00:00:00"/>
        <d v="2025-01-29T00:00:00"/>
        <d v="2023-05-08T00:00:00"/>
        <d v="2025-10-31T00:00:00"/>
        <d v="2025-01-14T00:00:00"/>
        <d v="2024-09-29T00:00:00"/>
        <d v="2024-12-17T00:00:00"/>
        <d v="2022-09-05T00:00:00"/>
        <d v="2023-10-23T00:00:00"/>
        <d v="2023-03-17T00:00:00"/>
        <d v="2025-08-24T00:00:00"/>
        <d v="2022-09-26T00:00:00"/>
        <d v="2022-06-30T00:00:00"/>
        <d v="2025-02-20T00:00:00"/>
        <d v="2023-06-19T00:00:00"/>
        <d v="2023-04-27T00:00:00"/>
        <d v="2024-06-01T00:00:00"/>
        <d v="2022-07-17T00:00:00"/>
        <d v="2024-07-10T00:00:00"/>
        <d v="2024-12-18T00:00:00"/>
        <d v="2023-10-28T00:00:00"/>
        <d v="2023-11-11T00:00:00"/>
        <d v="2022-02-21T00:00:00"/>
        <d v="2023-03-21T00:00:00"/>
        <d v="2024-03-09T00:00:00"/>
        <d v="2024-05-26T00:00:00"/>
        <d v="2025-04-29T00:00:00"/>
        <d v="2022-05-25T00:00:00"/>
        <d v="2023-03-22T00:00:00"/>
        <d v="2024-10-18T00:00:00"/>
        <d v="2024-04-11T00:00:00"/>
        <d v="2024-03-25T00:00:00"/>
        <d v="2024-10-14T00:00:00"/>
        <d v="2025-07-19T00:00:00"/>
        <d v="2023-10-21T00:00:00"/>
        <d v="2024-12-27T00:00:00"/>
        <d v="2024-09-16T00:00:00"/>
        <d v="2025-09-03T00:00:00"/>
        <d v="2022-08-23T00:00:00"/>
        <d v="2023-06-26T00:00:00"/>
        <d v="2024-09-21T00:00:00"/>
        <d v="2023-06-08T00:00:00"/>
        <d v="2024-11-11T00:00:00"/>
        <d v="2024-09-27T00:00:00"/>
        <d v="2022-07-16T00:00:00"/>
        <d v="2023-04-02T00:00:00"/>
        <d v="2026-01-03T00:00:00"/>
        <d v="2023-05-09T00:00:00"/>
        <d v="2024-06-18T00:00:00"/>
        <d v="2022-04-18T00:00:00"/>
        <d v="2024-09-17T00:00:00"/>
        <d v="2024-08-11T00:00:00"/>
        <d v="2025-02-14T00:00:00"/>
        <d v="2022-04-29T00:00:00"/>
        <d v="2024-01-29T00:00:00"/>
        <d v="2025-09-22T00:00:00"/>
        <d v="2023-06-02T00:00:00"/>
        <d v="2022-05-30T00:00:00"/>
        <d v="2024-11-17T00:00:00"/>
        <d v="2022-07-26T00:00:00"/>
        <d v="2024-10-09T00:00:00"/>
        <d v="2025-05-20T00:00:00"/>
        <d v="2023-04-05T00:00:00"/>
        <d v="2022-06-23T00:00:00"/>
        <d v="2025-08-15T00:00:00"/>
        <d v="2024-03-06T00:00:00"/>
        <d v="2023-07-09T00:00:00"/>
        <d v="2023-11-19T00:00:00"/>
        <d v="2025-11-28T00:00:00"/>
        <d v="2025-03-06T00:00:00"/>
        <d v="2024-03-10T00:00:00"/>
        <d v="2024-08-29T00:00:00"/>
        <d v="2023-08-02T00:00:00"/>
        <d v="2022-03-23T00:00:00"/>
        <d v="2022-06-25T00:00:00"/>
        <d v="2023-10-31T00:00:00"/>
        <d v="2024-01-22T00:00:00"/>
        <d v="2025-05-01T00:00:00"/>
        <d v="2022-07-11T00:00:00"/>
        <d v="2022-09-02T00:00:00"/>
        <d v="2022-07-18T00:00:00"/>
        <d v="2024-10-02T00:00:00"/>
        <d v="2022-09-21T00:00:00"/>
        <d v="2024-04-15T00:00:00"/>
        <d v="2025-09-27T00:00:00"/>
        <d v="2022-11-01T00:00:00"/>
        <d v="2024-12-03T00:00:00"/>
        <d v="2022-06-13T00:00:00"/>
        <d v="2025-08-23T00:00:00"/>
        <d v="2022-06-06T00:00:00"/>
        <d v="2023-08-09T00:00:00"/>
        <d v="2025-04-10T00:00:00"/>
        <d v="2023-05-31T00:00:00"/>
        <d v="2023-01-09T00:00:00"/>
        <d v="2023-06-12T00:00:00"/>
        <d v="2026-01-22T00:00:00"/>
        <d v="2023-01-03T00:00:00"/>
        <d v="2024-04-17T00:00:00"/>
        <d v="2022-12-22T00:00:00"/>
        <d v="2022-03-16T00:00:00"/>
        <d v="2024-09-19T00:00:00"/>
        <d v="2022-11-11T00:00:00"/>
        <d v="2023-05-28T00:00:00"/>
        <d v="2023-11-13T00:00:00"/>
        <d v="2022-12-09T00:00:00"/>
        <d v="2022-09-09T00:00:00"/>
        <d v="2023-05-07T00:00:00"/>
        <d v="2026-01-21T00:00:00"/>
        <d v="2024-06-05T00:00:00"/>
        <d v="2024-06-12T00:00:00"/>
        <d v="2022-02-01T00:00:00"/>
        <d v="2025-10-13T00:00:00"/>
        <d v="2023-12-10T00:00:00"/>
        <d v="2025-02-13T00:00:00"/>
        <d v="2025-02-22T00:00:00"/>
        <d v="2025-10-23T00:00:00"/>
        <d v="2022-11-28T00:00:00"/>
        <d v="2025-11-29T00:00:00"/>
        <d v="2025-11-15T00:00:00"/>
        <d v="2023-02-07T00:00:00"/>
        <d v="2023-03-03T00:00:00"/>
        <d v="2024-03-11T00:00:00"/>
        <d v="2025-07-04T00:00:00"/>
        <d v="2023-10-19T00:00:00"/>
        <d v="2023-05-27T00:00:00"/>
        <d v="2024-08-23T00:00:00"/>
        <d v="2025-12-20T00:00:00"/>
        <d v="2024-03-15T00:00:00"/>
        <d v="2024-08-19T00:00:00"/>
        <d v="2024-05-17T00:00:00"/>
        <d v="2023-05-12T00:00:00"/>
        <d v="2022-02-27T00:00:00"/>
        <d v="2025-07-03T00:00:00"/>
        <d v="2023-10-04T00:00:00"/>
        <d v="2022-05-31T00:00:00"/>
        <d v="2022-07-31T00:00:00"/>
        <d v="2025-04-07T00:00:00"/>
        <d v="2025-06-07T00:00:00"/>
        <d v="2024-01-17T00:00:00"/>
        <d v="2022-11-23T00:00:00"/>
        <d v="2024-11-24T00:00:00"/>
        <d v="2024-02-01T00:00:00"/>
        <d v="2023-09-04T00:00:00"/>
        <d v="2024-10-19T00:00:00"/>
        <d v="2023-02-22T00:00:00"/>
        <d v="2022-03-26T00:00:00"/>
        <d v="2022-02-26T00:00:00"/>
        <d v="2023-01-10T00:00:00"/>
        <d v="2023-12-01T00:00:00"/>
        <d v="2025-01-19T00:00:00"/>
        <d v="2022-08-09T00:00:00"/>
        <d v="2023-03-04T00:00:00"/>
        <d v="2023-03-15T00:00:00"/>
        <d v="2023-09-01T00:00:00"/>
        <d v="2025-02-11T00:00:00"/>
        <d v="2024-01-21T00:00:00"/>
        <d v="2024-11-04T00:00:00"/>
        <d v="2023-10-29T00:00:00"/>
        <d v="2025-12-31T00:00:00"/>
        <d v="2024-12-01T00:00:00"/>
        <d v="2025-09-18T00:00:00"/>
        <d v="2024-04-20T00:00:00"/>
        <d v="2025-07-05T00:00:00"/>
        <d v="2025-01-12T00:00:00"/>
        <d v="2023-12-23T00:00:00"/>
        <d v="2022-10-11T00:00:00"/>
        <d v="2022-02-11T00:00:00"/>
        <d v="2024-07-06T00:00:00"/>
        <d v="2025-05-28T00:00:00"/>
        <d v="2024-02-25T00:00:00"/>
        <d v="2022-06-28T00:00:00"/>
        <d v="2024-05-31T00:00:00"/>
        <d v="2025-08-07T00:00:00"/>
        <d v="2025-06-26T00:00:00"/>
        <d v="2024-04-02T00:00:00"/>
        <d v="2023-05-06T00:00:00"/>
        <d v="2023-01-17T00:00:00"/>
        <d v="2024-09-04T00:00:00"/>
        <d v="2025-06-19T00:00:00"/>
        <d v="2022-03-29T00:00:00"/>
        <d v="2023-09-21T00:00:00"/>
        <d v="2026-01-23T00:00:00"/>
        <d v="2025-01-17T00:00:00"/>
        <d v="2025-12-23T00:00:00"/>
        <d v="2023-05-21T00:00:00"/>
        <d v="2023-02-12T00:00:00"/>
        <d v="2024-09-11T00:00:00"/>
        <d v="2022-10-13T00:00:00"/>
        <d v="2025-10-29T00:00:00"/>
        <d v="2023-12-08T00:00:00"/>
        <d v="2024-03-05T00:00:00"/>
        <d v="2022-11-21T00:00:00"/>
        <d v="2022-10-05T00:00:00"/>
        <d v="2022-12-10T00:00:00"/>
        <d v="2023-09-13T00:00:00"/>
        <d v="2023-01-12T00:00:00"/>
        <d v="2025-08-28T00:00:00"/>
        <d v="2024-08-31T00:00:00"/>
        <d v="2024-02-10T00:00:00"/>
        <d v="2025-08-10T00:00:00"/>
        <d v="2024-12-31T00:00:00"/>
        <d v="2024-03-31T00:00:00"/>
        <d v="2024-05-20T00:00:00"/>
        <d v="2024-04-01T00:00:00"/>
        <d v="2024-05-06T00:00:00"/>
        <d v="2025-06-04T00:00:00"/>
        <d v="2023-02-26T00:00:00"/>
        <d v="2024-10-20T00:00:00"/>
        <d v="2023-06-24T00:00:00"/>
        <d v="2024-01-04T00:00:00"/>
        <d v="2024-06-03T00:00:00"/>
        <d v="2024-07-20T00:00:00"/>
        <d v="2023-04-22T00:00:00"/>
        <d v="2022-11-18T00:00:00"/>
        <d v="2023-05-04T00:00:00"/>
        <d v="2024-01-15T00:00:00"/>
        <d v="2025-12-13T00:00:00"/>
        <d v="2025-03-07T00:00:00"/>
        <d v="2022-03-15T00:00:00"/>
        <d v="2024-09-18T00:00:00"/>
        <d v="2024-06-14T00:00:00"/>
        <d v="2024-03-28T00:00:00"/>
        <d v="2025-06-10T00:00:00"/>
        <d v="2023-07-14T00:00:00"/>
        <d v="2023-05-29T00:00:00"/>
        <d v="2025-04-08T00:00:00"/>
        <d v="2022-05-27T00:00:00"/>
        <d v="2022-08-24T00:00:00"/>
        <d v="2022-02-14T00:00:00"/>
        <d v="2023-09-24T00:00:00"/>
        <d v="2022-06-26T00:00:00"/>
        <d v="2022-10-16T00:00:00"/>
        <d v="2024-12-08T00:00:00"/>
        <d v="2024-12-15T00:00:00"/>
        <d v="2024-10-04T00:00:00"/>
        <d v="2023-08-08T00:00:00"/>
        <d v="2025-10-05T00:00:00"/>
        <d v="2025-11-27T00:00:00"/>
        <d v="2024-04-23T00:00:00"/>
        <d v="2023-03-19T00:00:00"/>
        <d v="2023-11-14T00:00:00"/>
        <d v="2022-12-17T00:00:00"/>
        <d v="2024-07-31T00:00:00"/>
        <d v="2022-08-22T00:00:00"/>
        <d v="2022-06-07T00:00:00"/>
        <d v="2022-11-10T00:00:00"/>
        <d v="2024-05-28T00:00:00"/>
        <d v="2023-06-06T00:00:00"/>
        <d v="2025-03-01T00:00:00"/>
        <d v="2024-11-23T00:00:00"/>
        <d v="2023-01-01T00:00:00"/>
        <d v="2022-05-22T00:00:00"/>
        <d v="2023-04-07T00:00:00"/>
        <d v="2024-10-05T00:00:00"/>
        <d v="2022-03-31T00:00:00"/>
        <d v="2025-02-09T00:00:00"/>
        <d v="2022-12-01T00:00:00"/>
        <d v="2023-02-08T00:00:00"/>
        <d v="2023-01-24T00:00:00"/>
        <d v="2025-11-25T00:00:00"/>
        <d v="2024-12-04T00:00:00"/>
        <d v="2023-02-15T00:00:00"/>
        <d v="2025-05-19T00:00:00"/>
        <d v="2023-01-16T00:00:00"/>
        <d v="2023-11-12T00:00:00"/>
        <d v="2022-03-13T00:00:00"/>
        <d v="2025-05-17T00:00:00"/>
        <d v="2023-09-18T00:00:00"/>
        <d v="2025-08-27T00:00:00"/>
        <d v="2024-08-06T00:00:00"/>
        <d v="2024-07-30T00:00:00"/>
        <d v="2024-02-07T00:00:00"/>
        <d v="2025-01-30T00:00:00"/>
        <d v="2023-06-01T00:00:00"/>
        <d v="2024-01-27T00:00:00"/>
        <d v="2023-10-01T00:00:00"/>
        <d v="2024-09-02T00:00:00"/>
        <d v="2022-06-15T00:00:00"/>
        <d v="2022-03-03T00:00:00"/>
        <d v="2023-06-30T00:00:00"/>
        <d v="2024-11-25T00:00:00"/>
        <d v="2022-08-21T00:00:00"/>
        <d v="2022-08-26T00:00:00"/>
        <d v="2022-04-23T00:00:00"/>
        <d v="2023-09-29T00:00:00"/>
        <d v="2023-06-11T00:00:00"/>
        <d v="2024-01-30T00:00:00"/>
        <d v="2022-04-17T00:00:00"/>
        <d v="2022-05-07T00:00:00"/>
        <d v="2025-06-12T00:00:00"/>
        <d v="2022-08-06T00:00:00"/>
        <d v="2022-12-13T00:00:00"/>
        <d v="2022-05-04T00:00:00"/>
        <d v="2025-04-28T00:00:00"/>
        <d v="2023-10-02T00:00:00"/>
        <d v="2024-11-01T00:00:00"/>
        <d v="2025-03-03T00:00:00"/>
        <d v="2023-01-26T00:00:00"/>
        <d v="2023-10-24T00:00:00"/>
        <d v="2024-05-24T00:00:00"/>
        <d v="2024-03-16T00:00:00"/>
        <d v="2024-10-21T00:00:00"/>
        <d v="2022-03-21T00:00:00"/>
        <d v="2025-06-14T00:00:00"/>
        <d v="2024-12-29T00:00:00"/>
        <d v="2024-04-24T00:00:00"/>
        <d v="2022-07-04T00:00:00"/>
        <d v="2023-11-22T00:00:00"/>
        <d v="2024-08-28T00:00:00"/>
        <d v="2023-07-01T00:00:00"/>
        <d v="2024-05-25T00:00:00"/>
        <d v="2022-03-06T00:00:00"/>
        <d v="2024-07-12T00:00:00"/>
        <d v="2022-09-25T00:00:00"/>
        <d v="2023-07-12T00:00:00"/>
        <d v="2024-02-27T00:00:00"/>
        <d v="2023-03-09T00:00:00"/>
        <d v="2024-04-30T00:00:00"/>
        <d v="2025-06-01T00:00:00"/>
        <d v="2025-07-06T00:00:00"/>
        <d v="2022-07-01T00:00:00"/>
        <d v="2026-02-15T00:00:00"/>
        <d v="2025-11-06T00:00:00"/>
        <d v="2023-10-26T00:00:00"/>
        <d v="2025-12-03T00:00:00"/>
        <d v="2024-12-19T00:00:00"/>
        <d v="2024-02-05T00:00:00"/>
        <d v="2024-07-02T00:00:00"/>
        <d v="2022-06-24T00:00:00"/>
        <d v="2025-10-24T00:00:00"/>
        <d v="2025-05-18T00:00:00"/>
        <d v="2022-05-12T00:00:00"/>
        <d v="2024-11-05T00:00:00"/>
        <d v="2024-07-11T00:00:00"/>
        <d v="2024-09-25T00:00:00"/>
        <d v="2023-08-24T00:00:00"/>
        <d v="2026-01-01T00:00:00"/>
        <d v="2024-12-20T00:00:00"/>
        <d v="2022-03-27T00:00:00"/>
        <d v="2025-04-15T00:00:00"/>
        <d v="2022-03-22T00:00:00"/>
        <d v="2024-12-13T00:00:00"/>
        <d v="2025-10-03T00:00:00"/>
        <d v="2023-01-18T00:00:00"/>
        <d v="2023-07-07T00:00:00"/>
        <d v="2023-08-18T00:00:00"/>
        <d v="2024-08-05T00:00:00"/>
        <d v="2022-10-01T00:00:00"/>
        <d v="2024-11-13T00:00:00"/>
        <d v="2024-07-07T00:00:00"/>
        <d v="2022-04-20T00:00:00"/>
        <d v="2024-10-11T00:00:00"/>
        <d v="2022-08-08T00:00:00"/>
        <d v="2024-04-18T00:00:00"/>
        <d v="2024-10-07T00:00:00"/>
        <d v="2025-03-15T00:00:00"/>
        <d v="2023-11-29T00:00:00"/>
        <d v="2024-01-03T00:00:00"/>
        <d v="2025-04-23T00:00:00"/>
        <d v="2024-11-16T00:00:00"/>
        <d v="2022-09-08T00:00:00"/>
        <d v="2025-11-18T00:00:00"/>
        <d v="2025-01-08T00:00:00"/>
        <d v="2024-06-25T00:00:00"/>
        <d v="2022-08-19T00:00:00"/>
        <d v="2024-06-24T00:00:00"/>
        <d v="2025-12-11T00:00:00"/>
        <d v="2023-03-30T00:00:00"/>
        <d v="2024-05-13T00:00:00"/>
        <d v="2025-12-16T00:00:00"/>
        <d v="2024-06-27T00:00:00"/>
        <d v="2025-12-28T00:00:00"/>
        <d v="2025-12-25T00:00:00"/>
        <d v="2023-05-17T00:00:00"/>
        <d v="2025-10-26T00:00:00"/>
        <d v="2024-02-08T00:00:00"/>
        <d v="2022-05-14T00:00:00"/>
        <d v="2024-02-23T00:00:00"/>
        <d v="2025-04-19T00:00:00"/>
        <d v="2023-01-14T00:00:00"/>
        <d v="2023-03-12T00:00:00"/>
        <d v="2024-07-29T00:00:00"/>
        <d v="2024-01-31T00:00:00"/>
        <d v="2023-06-03T00:00:00"/>
        <d v="2022-12-25T00:00:00"/>
        <d v="2024-01-20T00:00:00"/>
        <d v="2024-05-30T00:00:00"/>
        <d v="2025-12-15T00:00:00"/>
        <d v="2024-07-04T00:00:00"/>
        <d v="2024-09-08T00:00:00"/>
        <d v="2024-08-01T00:00:00"/>
        <d v="2022-04-12T00:00:00"/>
        <d v="2023-07-18T00:00:00"/>
        <d v="2025-06-20T00:00:00"/>
        <d v="2023-09-08T00:00:00"/>
        <d v="2022-11-08T00:00:00"/>
        <d v="2025-10-10T00:00:00"/>
        <d v="2025-09-21T00:00:00"/>
        <d v="2023-03-29T00:00:00"/>
        <d v="2023-03-05T00:00:00"/>
        <d v="2023-09-02T00:00:00"/>
        <d v="2025-06-28T00:00:00"/>
        <d v="2024-03-22T00:00:00"/>
        <d v="2025-09-02T00:00:00"/>
        <d v="2024-03-04T00:00:00"/>
        <d v="2023-11-16T00:00:00"/>
        <d v="2025-04-14T00:00:00"/>
        <d v="2025-02-25T00:00:00"/>
        <d v="2023-12-25T00:00:00"/>
        <d v="2025-12-30T00:00:00"/>
        <d v="2022-08-13T00:00:00"/>
        <d v="2023-02-16T00:00:00"/>
        <d v="2024-06-11T00:00:00"/>
        <d v="2023-09-14T00:00:00"/>
        <d v="2025-04-12T00:00:00"/>
        <d v="2022-07-29T00:00:00"/>
        <d v="2022-02-28T00:00:00"/>
        <d v="2022-09-19T00:00:00"/>
        <d v="2022-10-20T00:00:00"/>
        <d v="2023-02-19T00:00:00"/>
        <d v="2023-10-05T00:00:00"/>
        <d v="2023-06-27T00:00:00"/>
        <d v="2023-09-05T00:00:00"/>
        <d v="2023-12-13T00:00:00"/>
        <d v="2026-02-11T00:00:00"/>
        <d v="2025-10-11T00:00:00"/>
        <d v="2023-12-14T00:00:00"/>
        <d v="2022-08-25T00:00:00"/>
        <d v="2025-03-17T00:00:00"/>
        <d v="2025-06-03T00:00:00"/>
        <d v="2022-11-06T00:00:00"/>
        <d v="2025-05-12T00:00:00"/>
        <d v="2024-02-02T00:00:00"/>
        <d v="2025-08-30T00:00:00"/>
        <d v="2022-05-29T00:00:00"/>
        <d v="2025-01-20T00:00:00"/>
        <d v="2025-03-05T00:00:00"/>
        <d v="2025-08-20T00:00:00"/>
        <d v="2022-09-03T00:00:00"/>
        <d v="2026-01-20T00:00:00"/>
        <d v="2023-12-18T00:00:00"/>
        <d v="2025-07-09T00:00:00"/>
        <d v="2022-08-12T00:00:00"/>
        <d v="2023-03-31T00:00:00"/>
        <d v="2024-09-24T00:00:00"/>
        <d v="2025-07-11T00:00:00"/>
        <d v="2022-06-11T00:00:00"/>
        <d v="2023-07-28T00:00:00"/>
        <d v="2022-09-07T00:00:00"/>
        <d v="2022-05-05T00:00:00"/>
        <d v="2024-12-10T00:00:00"/>
        <d v="2022-04-25T00:00:00"/>
        <d v="2023-08-14T00:00:00"/>
        <d v="2025-06-25T00:00:00"/>
        <d v="2026-02-17T00:00:00"/>
        <d v="2022-04-22T00:00:00"/>
        <d v="2026-01-17T00:00:00"/>
        <d v="2024-04-09T00:00:00"/>
        <d v="2023-10-07T00:00:00"/>
        <d v="2022-12-16T00:00:00"/>
        <d v="2025-06-06T00:00:00"/>
        <d v="2022-09-29T00:00:00"/>
        <d v="2023-07-05T00:00:00"/>
        <d v="2023-01-30T00:00:00"/>
        <d v="2025-06-27T00:00:00"/>
        <d v="2025-10-17T00:00:00"/>
        <d v="2025-11-17T00:00:00"/>
        <d v="2026-02-05T00:00:00"/>
        <d v="2026-02-18T00:00:00"/>
        <d v="2023-03-26T00:00:00"/>
        <d v="2025-09-19T00:00:00"/>
        <d v="2025-07-16T00:00:00"/>
        <d v="2023-07-21T00:00:00"/>
        <d v="2026-02-16T00:00:00"/>
        <d v="2023-07-20T00:00:00"/>
        <d v="2025-07-21T00:00:00"/>
        <d v="2023-08-25T00:00:00"/>
        <d v="2022-04-15T00:00:00"/>
        <d v="2022-06-27T00:00:00"/>
        <d v="2023-05-26T00:00:00"/>
        <d v="2023-07-02T00:00:00"/>
        <d v="2025-05-10T00:00:00"/>
        <d v="2022-09-23T00:00:00"/>
        <d v="2022-07-30T00:00:00"/>
        <d v="2025-03-12T00:00:00"/>
        <d v="2022-07-19T00:00:00"/>
        <d v="2022-10-03T00:00:00"/>
        <d v="2022-10-12T00:00:00"/>
        <d v="2023-08-06T00:00:00"/>
        <d v="2025-07-02T00:00:00"/>
        <d v="2025-02-04T00:00:00"/>
        <d v="2025-05-15T00:00:00"/>
        <d v="2025-02-24T00:00:00"/>
        <d v="2024-01-14T00:00:00"/>
        <d v="2025-06-21T00:00:00"/>
        <d v="2024-04-08T00:00:00"/>
        <d v="2023-04-12T00:00:00"/>
        <d v="2023-05-10T00:00:00"/>
        <d v="2023-06-10T00:00:00"/>
        <d v="2022-08-04T00:00:00"/>
        <d v="2022-10-25T00:00:00"/>
        <d v="2025-11-16T00:00:00"/>
        <d v="2025-09-29T00:00:00"/>
        <d v="2025-08-17T00:00:00"/>
        <d v="2022-08-01T00:00:00"/>
        <d v="2022-10-26T00:00:00"/>
        <d v="2023-02-04T00:00:00"/>
        <d v="2025-07-13T00:00:00"/>
        <d v="2022-12-07T00:00:00"/>
        <d v="2023-10-30T00:00:00"/>
        <d v="2023-03-16T00:00:00"/>
        <d v="2022-04-13T00:00:00"/>
        <d v="2023-09-12T00:00:00"/>
        <d v="2024-12-05T00:00:00"/>
        <d v="2025-04-11T00:00:00"/>
        <d v="2024-10-06T00:00:00"/>
        <d v="2023-11-25T00:00:00"/>
        <d v="2025-05-24T00:00:00"/>
        <d v="2024-06-04T00:00:00"/>
        <d v="2024-02-04T00:00:00"/>
        <d v="2022-06-29T00:00:00"/>
        <d v="2025-10-19T00:00:00"/>
        <d v="2024-04-25T00:00:00"/>
        <d v="2023-06-07T00:00:00"/>
        <d v="2023-06-16T00:00:00"/>
        <d v="2025-07-08T00:00:00"/>
        <d v="2025-08-13T00:00:00"/>
        <d v="2025-11-12T00:00:00"/>
        <d v="2025-08-31T00:00:00"/>
        <d v="2022-11-04T00:00:00"/>
        <d v="2022-04-01T00:00:00"/>
        <d v="2026-01-18T00:00:00"/>
        <d v="2025-07-07T00:00:00"/>
        <d v="2025-07-24T00:00:00"/>
        <d v="2023-06-29T00:00:00"/>
        <d v="2022-05-19T00:00:00"/>
        <d v="2022-04-21T00:00:00"/>
        <d v="2024-12-21T00:00:00"/>
        <d v="2023-02-21T00:00:00"/>
        <d v="2022-08-17T00:00:00"/>
        <d v="2024-09-01T00:00:00"/>
        <d v="2025-01-10T00:00:00"/>
        <d v="2025-02-21T00:00:00"/>
        <d v="2026-02-25T00:00:00"/>
        <d v="2024-10-08T00:00:00"/>
        <d v="2023-04-16T00:00:00"/>
        <d v="2023-02-25T00:00:00"/>
        <d v="2024-06-13T00:00:00"/>
        <d v="2022-03-11T00:00:00"/>
        <d v="2022-03-12T00:00:00"/>
        <d v="2024-03-17T00:00:00"/>
        <d v="2026-02-09T00:00:00"/>
        <d v="2025-06-16T00:00:00"/>
        <d v="2022-07-28T00:00:00"/>
        <d v="2024-06-22T00:00:00"/>
        <d v="2022-07-12T00:00:00"/>
        <d v="2022-10-19T00:00:00"/>
        <d v="2022-12-28T00:00:00"/>
        <d v="2023-01-02T00:00:00"/>
        <d v="2024-07-18T00:00:00"/>
        <d v="2024-09-28T00:00:00"/>
        <d v="2023-04-30T00:00:00"/>
        <d v="2024-07-16T00:00:00"/>
        <d v="2025-09-16T00:00:00"/>
        <d v="2022-07-09T00:00:00"/>
        <d v="2022-05-03T00:00:00"/>
        <d v="2024-12-30T00:00:00"/>
        <d v="2022-06-20T00:00:00"/>
        <d v="2023-08-16T00:00:00"/>
        <d v="2022-11-07T00:00:00"/>
        <d v="2024-05-10T00:00:00"/>
        <d v="2025-05-03T00:00:00"/>
        <d v="2024-11-20T00:00:00"/>
        <d v="2023-02-06T00:00:00"/>
      </sharedItems>
      <fieldGroup par="23"/>
    </cacheField>
    <cacheField name="Patient_State" numFmtId="0">
      <sharedItems count="29">
        <s v="Kerala"/>
        <s v="Goa"/>
        <s v="Maharastra"/>
        <s v="Manipur"/>
        <s v="Mizoram"/>
        <s v="Sikkim"/>
        <s v="Karnataka"/>
        <s v="Gujarat"/>
        <s v="Delhi"/>
        <s v="Bihar"/>
        <s v="Chandigarh"/>
        <s v="Nagaland"/>
        <s v="Tripura"/>
        <s v="Meghalaya"/>
        <s v="West Bengal"/>
        <s v="Jammu &amp; Kashmir"/>
        <s v="Assam"/>
        <s v="Uttar Pradesh"/>
        <s v="Punjab"/>
        <s v="Himachal Pradesh"/>
        <s v="Puducherry"/>
        <s v="Andhra Pradesh"/>
        <s v="Tamil Nadu"/>
        <s v="Madhya Pradesh"/>
        <s v="Odisha"/>
        <s v="Rajasthan"/>
        <s v="Haryana"/>
        <s v="Jharkhand"/>
        <s v="Arunachal Pradesh"/>
      </sharedItems>
    </cacheField>
    <cacheField name="Year_of_Admission" numFmtId="0">
      <sharedItems containsSemiMixedTypes="0" containsString="0" containsNumber="1" containsInteger="1" minValue="2022" maxValue="2025" count="4">
        <n v="2024"/>
        <n v="2023"/>
        <n v="2025"/>
        <n v="2022"/>
      </sharedItems>
    </cacheField>
    <cacheField name="Length_of_Stay" numFmtId="0">
      <sharedItems containsSemiMixedTypes="0" containsString="0" containsNumber="1" containsInteger="1" minValue="1" maxValue="76"/>
    </cacheField>
    <cacheField name="Readmission" numFmtId="0">
      <sharedItems count="2">
        <s v="No"/>
        <s v="Yes"/>
      </sharedItems>
    </cacheField>
    <cacheField name="Outcome" numFmtId="0">
      <sharedItems/>
    </cacheField>
    <cacheField name="Satisfaction" numFmtId="0">
      <sharedItems containsSemiMixedTypes="0" containsString="0" containsNumber="1" containsInteger="1" minValue="2" maxValue="5" count="4">
        <n v="4"/>
        <n v="3"/>
        <n v="5"/>
        <n v="2"/>
      </sharedItems>
    </cacheField>
    <cacheField name="Insurance_Claimed" numFmtId="0">
      <sharedItems count="2">
        <s v="Yes"/>
        <s v="No"/>
      </sharedItems>
    </cacheField>
    <cacheField name="Total_Cost" numFmtId="0">
      <sharedItems containsSemiMixedTypes="0" containsString="0" containsNumber="1" containsInteger="1" minValue="100" maxValue="25000"/>
    </cacheField>
    <cacheField name="age_group" numFmtId="0">
      <sharedItems count="3">
        <s v="Middle Age"/>
        <s v="Adult"/>
        <s v="Senior"/>
      </sharedItems>
    </cacheField>
    <cacheField name="patient_stay_level" numFmtId="0">
      <sharedItems count="9">
        <s v="0 to 7 days"/>
        <s v="8 to 14 days"/>
        <s v="15 to 30 days"/>
        <s v="31 to 60 days"/>
        <s v="More Than 60 days"/>
        <s v="Short Stay" u="1"/>
        <s v="Moderate Stay" u="1"/>
        <s v="Long Stay" u="1"/>
        <s v="Extended Stay" u="1"/>
      </sharedItems>
    </cacheField>
    <cacheField name="Discharge Year" numFmtId="0">
      <sharedItems containsSemiMixedTypes="0" containsString="0" containsNumber="1" containsInteger="1" minValue="2022" maxValue="2026" count="5">
        <n v="2024"/>
        <n v="2023"/>
        <n v="2025"/>
        <n v="2022"/>
        <n v="2026"/>
      </sharedItems>
    </cacheField>
    <cacheField name="Months (Admission_Date)" numFmtId="0" databaseField="0">
      <fieldGroup base="5">
        <rangePr groupBy="months" startDate="2022-01-01T00:00:00" endDate="2025-12-31T00:00:00"/>
        <groupItems count="14">
          <s v="&lt;01-01-2022"/>
          <s v="Jan"/>
          <s v="Feb"/>
          <s v="Mar"/>
          <s v="Apr"/>
          <s v="May"/>
          <s v="Jun"/>
          <s v="Jul"/>
          <s v="Aug"/>
          <s v="Sep"/>
          <s v="Oct"/>
          <s v="Nov"/>
          <s v="Dec"/>
          <s v="&gt;31-12-2025"/>
        </groupItems>
      </fieldGroup>
    </cacheField>
    <cacheField name="Quarters (Admission_Date)" numFmtId="0" databaseField="0">
      <fieldGroup base="5">
        <rangePr groupBy="quarters" startDate="2022-01-01T00:00:00" endDate="2025-12-31T00:00:00"/>
        <groupItems count="6">
          <s v="&lt;01-01-2022"/>
          <s v="Qtr1"/>
          <s v="Qtr2"/>
          <s v="Qtr3"/>
          <s v="Qtr4"/>
          <s v="&gt;31-12-2025"/>
        </groupItems>
      </fieldGroup>
    </cacheField>
    <cacheField name="Years (Admission_Date)" numFmtId="0" databaseField="0">
      <fieldGroup base="5">
        <rangePr groupBy="years" startDate="2022-01-01T00:00:00" endDate="2025-12-31T00:00:00"/>
        <groupItems count="6">
          <s v="&lt;01-01-2022"/>
          <s v="2022"/>
          <s v="2023"/>
          <s v="2024"/>
          <s v="2025"/>
          <s v="&gt;31-12-2025"/>
        </groupItems>
      </fieldGroup>
    </cacheField>
    <cacheField name="Months (Discharge_Date)" numFmtId="0" databaseField="0">
      <fieldGroup base="6">
        <rangePr groupBy="months" startDate="2022-01-11T00:00:00" endDate="2026-02-26T00:00:00"/>
        <groupItems count="14">
          <s v="&lt;11-01-2022"/>
          <s v="Jan"/>
          <s v="Feb"/>
          <s v="Mar"/>
          <s v="Apr"/>
          <s v="May"/>
          <s v="Jun"/>
          <s v="Jul"/>
          <s v="Aug"/>
          <s v="Sep"/>
          <s v="Oct"/>
          <s v="Nov"/>
          <s v="Dec"/>
          <s v="&gt;26-02-2026"/>
        </groupItems>
      </fieldGroup>
    </cacheField>
    <cacheField name="Quarters (Discharge_Date)" numFmtId="0" databaseField="0">
      <fieldGroup base="6">
        <rangePr groupBy="quarters" startDate="2022-01-11T00:00:00" endDate="2026-02-26T00:00:00"/>
        <groupItems count="6">
          <s v="&lt;11-01-2022"/>
          <s v="Qtr1"/>
          <s v="Qtr2"/>
          <s v="Qtr3"/>
          <s v="Qtr4"/>
          <s v="&gt;26-02-2026"/>
        </groupItems>
      </fieldGroup>
    </cacheField>
    <cacheField name="Years (Discharge_Date)" numFmtId="0" databaseField="0">
      <fieldGroup base="6">
        <rangePr groupBy="years" startDate="2022-01-11T00:00:00" endDate="2026-02-26T00:00:00"/>
        <groupItems count="7">
          <s v="&lt;11-01-2022"/>
          <s v="2022"/>
          <s v="2023"/>
          <s v="2024"/>
          <s v="2025"/>
          <s v="2026"/>
          <s v="&gt;26-02-2026"/>
        </groupItems>
      </fieldGroup>
    </cacheField>
  </cacheFields>
  <extLst>
    <ext xmlns:x14="http://schemas.microsoft.com/office/spreadsheetml/2009/9/main" uri="{725AE2AE-9491-48be-B2B4-4EB974FC3084}">
      <x14:pivotCacheDefinition pivotCacheId="1247320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x v="0"/>
    <n v="45"/>
    <x v="0"/>
    <x v="0"/>
    <x v="0"/>
    <x v="0"/>
    <x v="0"/>
    <x v="0"/>
    <x v="0"/>
    <n v="5"/>
    <x v="0"/>
    <s v="Recovered"/>
    <x v="0"/>
    <x v="0"/>
    <n v="15000"/>
    <x v="0"/>
    <x v="0"/>
    <x v="0"/>
  </r>
  <r>
    <x v="1"/>
    <n v="60"/>
    <x v="1"/>
    <x v="1"/>
    <x v="1"/>
    <x v="1"/>
    <x v="1"/>
    <x v="1"/>
    <x v="1"/>
    <n v="3"/>
    <x v="1"/>
    <s v="Stable"/>
    <x v="1"/>
    <x v="1"/>
    <n v="2000"/>
    <x v="0"/>
    <x v="0"/>
    <x v="1"/>
  </r>
  <r>
    <x v="2"/>
    <n v="32"/>
    <x v="0"/>
    <x v="2"/>
    <x v="2"/>
    <x v="2"/>
    <x v="2"/>
    <x v="2"/>
    <x v="2"/>
    <n v="1"/>
    <x v="0"/>
    <s v="Recovered"/>
    <x v="2"/>
    <x v="0"/>
    <n v="500"/>
    <x v="1"/>
    <x v="0"/>
    <x v="2"/>
  </r>
  <r>
    <x v="3"/>
    <n v="75"/>
    <x v="1"/>
    <x v="3"/>
    <x v="3"/>
    <x v="3"/>
    <x v="3"/>
    <x v="3"/>
    <x v="1"/>
    <n v="7"/>
    <x v="1"/>
    <s v="Stable"/>
    <x v="3"/>
    <x v="1"/>
    <n v="10000"/>
    <x v="2"/>
    <x v="0"/>
    <x v="0"/>
  </r>
  <r>
    <x v="4"/>
    <n v="50"/>
    <x v="0"/>
    <x v="4"/>
    <x v="4"/>
    <x v="4"/>
    <x v="4"/>
    <x v="4"/>
    <x v="3"/>
    <n v="10"/>
    <x v="0"/>
    <s v="Recovered"/>
    <x v="0"/>
    <x v="1"/>
    <n v="25000"/>
    <x v="0"/>
    <x v="1"/>
    <x v="3"/>
  </r>
  <r>
    <x v="5"/>
    <n v="68"/>
    <x v="1"/>
    <x v="5"/>
    <x v="5"/>
    <x v="5"/>
    <x v="5"/>
    <x v="5"/>
    <x v="2"/>
    <n v="2"/>
    <x v="0"/>
    <s v="Stable"/>
    <x v="0"/>
    <x v="0"/>
    <n v="1000"/>
    <x v="2"/>
    <x v="0"/>
    <x v="2"/>
  </r>
  <r>
    <x v="6"/>
    <n v="55"/>
    <x v="0"/>
    <x v="6"/>
    <x v="6"/>
    <x v="6"/>
    <x v="6"/>
    <x v="6"/>
    <x v="1"/>
    <n v="4"/>
    <x v="0"/>
    <s v="Recovered"/>
    <x v="1"/>
    <x v="1"/>
    <n v="8000"/>
    <x v="0"/>
    <x v="0"/>
    <x v="1"/>
  </r>
  <r>
    <x v="7"/>
    <n v="40"/>
    <x v="1"/>
    <x v="7"/>
    <x v="7"/>
    <x v="7"/>
    <x v="7"/>
    <x v="7"/>
    <x v="3"/>
    <n v="6"/>
    <x v="0"/>
    <s v="Recovered"/>
    <x v="0"/>
    <x v="0"/>
    <n v="3000"/>
    <x v="0"/>
    <x v="0"/>
    <x v="3"/>
  </r>
  <r>
    <x v="8"/>
    <n v="70"/>
    <x v="0"/>
    <x v="8"/>
    <x v="8"/>
    <x v="8"/>
    <x v="8"/>
    <x v="0"/>
    <x v="1"/>
    <n v="8"/>
    <x v="1"/>
    <s v="Stable"/>
    <x v="3"/>
    <x v="1"/>
    <n v="18000"/>
    <x v="2"/>
    <x v="1"/>
    <x v="1"/>
  </r>
  <r>
    <x v="9"/>
    <n v="25"/>
    <x v="1"/>
    <x v="9"/>
    <x v="9"/>
    <x v="9"/>
    <x v="9"/>
    <x v="0"/>
    <x v="1"/>
    <n v="1"/>
    <x v="0"/>
    <s v="Recovered"/>
    <x v="2"/>
    <x v="1"/>
    <n v="100"/>
    <x v="1"/>
    <x v="0"/>
    <x v="1"/>
  </r>
  <r>
    <x v="10"/>
    <n v="48"/>
    <x v="0"/>
    <x v="10"/>
    <x v="10"/>
    <x v="10"/>
    <x v="10"/>
    <x v="8"/>
    <x v="0"/>
    <n v="2"/>
    <x v="0"/>
    <s v="Stable"/>
    <x v="0"/>
    <x v="1"/>
    <n v="800"/>
    <x v="0"/>
    <x v="0"/>
    <x v="0"/>
  </r>
  <r>
    <x v="11"/>
    <n v="65"/>
    <x v="1"/>
    <x v="11"/>
    <x v="11"/>
    <x v="11"/>
    <x v="11"/>
    <x v="8"/>
    <x v="2"/>
    <n v="9"/>
    <x v="0"/>
    <s v="Recovered"/>
    <x v="1"/>
    <x v="1"/>
    <n v="20000"/>
    <x v="2"/>
    <x v="1"/>
    <x v="2"/>
  </r>
  <r>
    <x v="12"/>
    <n v="30"/>
    <x v="0"/>
    <x v="12"/>
    <x v="12"/>
    <x v="12"/>
    <x v="12"/>
    <x v="9"/>
    <x v="2"/>
    <n v="3"/>
    <x v="0"/>
    <s v="Recovered"/>
    <x v="0"/>
    <x v="1"/>
    <n v="12000"/>
    <x v="1"/>
    <x v="0"/>
    <x v="2"/>
  </r>
  <r>
    <x v="13"/>
    <n v="52"/>
    <x v="1"/>
    <x v="13"/>
    <x v="13"/>
    <x v="13"/>
    <x v="13"/>
    <x v="8"/>
    <x v="2"/>
    <n v="4"/>
    <x v="0"/>
    <s v="Recovered"/>
    <x v="1"/>
    <x v="1"/>
    <n v="6000"/>
    <x v="0"/>
    <x v="0"/>
    <x v="2"/>
  </r>
  <r>
    <x v="14"/>
    <n v="58"/>
    <x v="0"/>
    <x v="14"/>
    <x v="14"/>
    <x v="14"/>
    <x v="14"/>
    <x v="10"/>
    <x v="1"/>
    <n v="5"/>
    <x v="0"/>
    <s v="Stable"/>
    <x v="0"/>
    <x v="1"/>
    <n v="4000"/>
    <x v="0"/>
    <x v="0"/>
    <x v="1"/>
  </r>
  <r>
    <x v="15"/>
    <n v="55"/>
    <x v="0"/>
    <x v="0"/>
    <x v="0"/>
    <x v="15"/>
    <x v="15"/>
    <x v="11"/>
    <x v="3"/>
    <n v="6"/>
    <x v="1"/>
    <s v="Recovered"/>
    <x v="1"/>
    <x v="0"/>
    <n v="15000"/>
    <x v="0"/>
    <x v="0"/>
    <x v="3"/>
  </r>
  <r>
    <x v="16"/>
    <n v="62"/>
    <x v="1"/>
    <x v="1"/>
    <x v="1"/>
    <x v="16"/>
    <x v="16"/>
    <x v="1"/>
    <x v="3"/>
    <n v="4"/>
    <x v="0"/>
    <s v="Stable"/>
    <x v="0"/>
    <x v="1"/>
    <n v="2000"/>
    <x v="2"/>
    <x v="0"/>
    <x v="3"/>
  </r>
  <r>
    <x v="17"/>
    <n v="35"/>
    <x v="0"/>
    <x v="2"/>
    <x v="2"/>
    <x v="17"/>
    <x v="17"/>
    <x v="2"/>
    <x v="2"/>
    <n v="2"/>
    <x v="1"/>
    <s v="Recovered"/>
    <x v="2"/>
    <x v="0"/>
    <n v="500"/>
    <x v="1"/>
    <x v="0"/>
    <x v="2"/>
  </r>
  <r>
    <x v="18"/>
    <n v="78"/>
    <x v="1"/>
    <x v="3"/>
    <x v="3"/>
    <x v="18"/>
    <x v="18"/>
    <x v="12"/>
    <x v="3"/>
    <n v="8"/>
    <x v="0"/>
    <s v="Stable"/>
    <x v="3"/>
    <x v="1"/>
    <n v="10000"/>
    <x v="2"/>
    <x v="1"/>
    <x v="3"/>
  </r>
  <r>
    <x v="19"/>
    <n v="53"/>
    <x v="0"/>
    <x v="4"/>
    <x v="4"/>
    <x v="19"/>
    <x v="19"/>
    <x v="13"/>
    <x v="0"/>
    <n v="11"/>
    <x v="1"/>
    <s v="Recovered"/>
    <x v="0"/>
    <x v="0"/>
    <n v="25000"/>
    <x v="0"/>
    <x v="1"/>
    <x v="0"/>
  </r>
  <r>
    <x v="20"/>
    <n v="72"/>
    <x v="1"/>
    <x v="5"/>
    <x v="5"/>
    <x v="20"/>
    <x v="20"/>
    <x v="1"/>
    <x v="1"/>
    <n v="3"/>
    <x v="0"/>
    <s v="Stable"/>
    <x v="0"/>
    <x v="1"/>
    <n v="1000"/>
    <x v="2"/>
    <x v="0"/>
    <x v="1"/>
  </r>
  <r>
    <x v="21"/>
    <n v="60"/>
    <x v="0"/>
    <x v="6"/>
    <x v="6"/>
    <x v="21"/>
    <x v="21"/>
    <x v="0"/>
    <x v="3"/>
    <n v="5"/>
    <x v="1"/>
    <s v="Recovered"/>
    <x v="1"/>
    <x v="1"/>
    <n v="8000"/>
    <x v="0"/>
    <x v="0"/>
    <x v="3"/>
  </r>
  <r>
    <x v="22"/>
    <n v="45"/>
    <x v="1"/>
    <x v="7"/>
    <x v="7"/>
    <x v="22"/>
    <x v="22"/>
    <x v="7"/>
    <x v="0"/>
    <n v="7"/>
    <x v="0"/>
    <s v="Recovered"/>
    <x v="0"/>
    <x v="1"/>
    <n v="3000"/>
    <x v="0"/>
    <x v="0"/>
    <x v="0"/>
  </r>
  <r>
    <x v="23"/>
    <n v="75"/>
    <x v="0"/>
    <x v="8"/>
    <x v="8"/>
    <x v="23"/>
    <x v="23"/>
    <x v="14"/>
    <x v="0"/>
    <n v="9"/>
    <x v="1"/>
    <s v="Stable"/>
    <x v="3"/>
    <x v="0"/>
    <n v="18000"/>
    <x v="2"/>
    <x v="1"/>
    <x v="0"/>
  </r>
  <r>
    <x v="24"/>
    <n v="28"/>
    <x v="1"/>
    <x v="9"/>
    <x v="9"/>
    <x v="24"/>
    <x v="24"/>
    <x v="0"/>
    <x v="1"/>
    <n v="2"/>
    <x v="0"/>
    <s v="Recovered"/>
    <x v="2"/>
    <x v="0"/>
    <n v="100"/>
    <x v="1"/>
    <x v="0"/>
    <x v="1"/>
  </r>
  <r>
    <x v="25"/>
    <n v="52"/>
    <x v="0"/>
    <x v="10"/>
    <x v="10"/>
    <x v="25"/>
    <x v="25"/>
    <x v="15"/>
    <x v="2"/>
    <n v="3"/>
    <x v="0"/>
    <s v="Stable"/>
    <x v="0"/>
    <x v="0"/>
    <n v="800"/>
    <x v="0"/>
    <x v="0"/>
    <x v="2"/>
  </r>
  <r>
    <x v="26"/>
    <n v="67"/>
    <x v="1"/>
    <x v="11"/>
    <x v="11"/>
    <x v="26"/>
    <x v="26"/>
    <x v="16"/>
    <x v="1"/>
    <n v="10"/>
    <x v="0"/>
    <s v="Recovered"/>
    <x v="1"/>
    <x v="0"/>
    <n v="20000"/>
    <x v="2"/>
    <x v="1"/>
    <x v="1"/>
  </r>
  <r>
    <x v="27"/>
    <n v="35"/>
    <x v="0"/>
    <x v="12"/>
    <x v="12"/>
    <x v="27"/>
    <x v="27"/>
    <x v="17"/>
    <x v="3"/>
    <n v="4"/>
    <x v="0"/>
    <s v="Recovered"/>
    <x v="0"/>
    <x v="1"/>
    <n v="12000"/>
    <x v="1"/>
    <x v="0"/>
    <x v="3"/>
  </r>
  <r>
    <x v="28"/>
    <n v="50"/>
    <x v="1"/>
    <x v="13"/>
    <x v="13"/>
    <x v="28"/>
    <x v="28"/>
    <x v="18"/>
    <x v="1"/>
    <n v="5"/>
    <x v="0"/>
    <s v="Recovered"/>
    <x v="1"/>
    <x v="0"/>
    <n v="6000"/>
    <x v="0"/>
    <x v="0"/>
    <x v="1"/>
  </r>
  <r>
    <x v="29"/>
    <n v="60"/>
    <x v="0"/>
    <x v="14"/>
    <x v="14"/>
    <x v="29"/>
    <x v="29"/>
    <x v="10"/>
    <x v="1"/>
    <n v="6"/>
    <x v="0"/>
    <s v="Stable"/>
    <x v="0"/>
    <x v="0"/>
    <n v="4000"/>
    <x v="0"/>
    <x v="0"/>
    <x v="1"/>
  </r>
  <r>
    <x v="30"/>
    <n v="48"/>
    <x v="0"/>
    <x v="0"/>
    <x v="0"/>
    <x v="30"/>
    <x v="30"/>
    <x v="19"/>
    <x v="2"/>
    <n v="7"/>
    <x v="1"/>
    <s v="Recovered"/>
    <x v="0"/>
    <x v="0"/>
    <n v="15000"/>
    <x v="0"/>
    <x v="0"/>
    <x v="2"/>
  </r>
  <r>
    <x v="31"/>
    <n v="65"/>
    <x v="1"/>
    <x v="1"/>
    <x v="1"/>
    <x v="31"/>
    <x v="31"/>
    <x v="20"/>
    <x v="0"/>
    <n v="5"/>
    <x v="0"/>
    <s v="Stable"/>
    <x v="1"/>
    <x v="1"/>
    <n v="2000"/>
    <x v="2"/>
    <x v="0"/>
    <x v="0"/>
  </r>
  <r>
    <x v="32"/>
    <n v="30"/>
    <x v="0"/>
    <x v="2"/>
    <x v="2"/>
    <x v="32"/>
    <x v="32"/>
    <x v="19"/>
    <x v="3"/>
    <n v="3"/>
    <x v="0"/>
    <s v="Recovered"/>
    <x v="2"/>
    <x v="1"/>
    <n v="500"/>
    <x v="1"/>
    <x v="0"/>
    <x v="3"/>
  </r>
  <r>
    <x v="33"/>
    <n v="70"/>
    <x v="1"/>
    <x v="3"/>
    <x v="3"/>
    <x v="33"/>
    <x v="33"/>
    <x v="3"/>
    <x v="2"/>
    <n v="9"/>
    <x v="1"/>
    <s v="Stable"/>
    <x v="3"/>
    <x v="1"/>
    <n v="10000"/>
    <x v="2"/>
    <x v="1"/>
    <x v="2"/>
  </r>
  <r>
    <x v="34"/>
    <n v="55"/>
    <x v="0"/>
    <x v="4"/>
    <x v="4"/>
    <x v="34"/>
    <x v="34"/>
    <x v="16"/>
    <x v="0"/>
    <n v="12"/>
    <x v="0"/>
    <s v="Recovered"/>
    <x v="0"/>
    <x v="1"/>
    <n v="25000"/>
    <x v="0"/>
    <x v="1"/>
    <x v="0"/>
  </r>
  <r>
    <x v="35"/>
    <n v="68"/>
    <x v="1"/>
    <x v="5"/>
    <x v="5"/>
    <x v="35"/>
    <x v="35"/>
    <x v="18"/>
    <x v="3"/>
    <n v="4"/>
    <x v="0"/>
    <s v="Stable"/>
    <x v="0"/>
    <x v="0"/>
    <n v="1000"/>
    <x v="2"/>
    <x v="0"/>
    <x v="3"/>
  </r>
  <r>
    <x v="36"/>
    <n v="45"/>
    <x v="0"/>
    <x v="6"/>
    <x v="6"/>
    <x v="36"/>
    <x v="36"/>
    <x v="21"/>
    <x v="0"/>
    <n v="6"/>
    <x v="0"/>
    <s v="Recovered"/>
    <x v="1"/>
    <x v="0"/>
    <n v="8000"/>
    <x v="0"/>
    <x v="0"/>
    <x v="0"/>
  </r>
  <r>
    <x v="37"/>
    <n v="40"/>
    <x v="1"/>
    <x v="7"/>
    <x v="7"/>
    <x v="37"/>
    <x v="37"/>
    <x v="20"/>
    <x v="3"/>
    <n v="8"/>
    <x v="0"/>
    <s v="Recovered"/>
    <x v="0"/>
    <x v="1"/>
    <n v="3000"/>
    <x v="0"/>
    <x v="1"/>
    <x v="3"/>
  </r>
  <r>
    <x v="38"/>
    <n v="78"/>
    <x v="0"/>
    <x v="8"/>
    <x v="8"/>
    <x v="38"/>
    <x v="38"/>
    <x v="0"/>
    <x v="3"/>
    <n v="10"/>
    <x v="1"/>
    <s v="Stable"/>
    <x v="3"/>
    <x v="0"/>
    <n v="18000"/>
    <x v="2"/>
    <x v="1"/>
    <x v="3"/>
  </r>
  <r>
    <x v="39"/>
    <n v="25"/>
    <x v="1"/>
    <x v="9"/>
    <x v="9"/>
    <x v="39"/>
    <x v="39"/>
    <x v="22"/>
    <x v="0"/>
    <n v="3"/>
    <x v="0"/>
    <s v="Recovered"/>
    <x v="2"/>
    <x v="1"/>
    <n v="100"/>
    <x v="1"/>
    <x v="0"/>
    <x v="0"/>
  </r>
  <r>
    <x v="40"/>
    <n v="52"/>
    <x v="0"/>
    <x v="10"/>
    <x v="10"/>
    <x v="40"/>
    <x v="40"/>
    <x v="13"/>
    <x v="1"/>
    <n v="4"/>
    <x v="0"/>
    <s v="Stable"/>
    <x v="0"/>
    <x v="1"/>
    <n v="800"/>
    <x v="0"/>
    <x v="0"/>
    <x v="1"/>
  </r>
  <r>
    <x v="41"/>
    <n v="58"/>
    <x v="1"/>
    <x v="11"/>
    <x v="11"/>
    <x v="41"/>
    <x v="41"/>
    <x v="8"/>
    <x v="2"/>
    <n v="11"/>
    <x v="0"/>
    <s v="Recovered"/>
    <x v="1"/>
    <x v="1"/>
    <n v="20000"/>
    <x v="0"/>
    <x v="1"/>
    <x v="4"/>
  </r>
  <r>
    <x v="42"/>
    <n v="32"/>
    <x v="0"/>
    <x v="12"/>
    <x v="12"/>
    <x v="42"/>
    <x v="42"/>
    <x v="23"/>
    <x v="2"/>
    <n v="5"/>
    <x v="0"/>
    <s v="Recovered"/>
    <x v="0"/>
    <x v="1"/>
    <n v="12000"/>
    <x v="1"/>
    <x v="0"/>
    <x v="2"/>
  </r>
  <r>
    <x v="43"/>
    <n v="55"/>
    <x v="1"/>
    <x v="13"/>
    <x v="13"/>
    <x v="43"/>
    <x v="43"/>
    <x v="8"/>
    <x v="2"/>
    <n v="6"/>
    <x v="0"/>
    <s v="Recovered"/>
    <x v="1"/>
    <x v="0"/>
    <n v="6000"/>
    <x v="0"/>
    <x v="0"/>
    <x v="2"/>
  </r>
  <r>
    <x v="44"/>
    <n v="65"/>
    <x v="0"/>
    <x v="14"/>
    <x v="14"/>
    <x v="44"/>
    <x v="44"/>
    <x v="24"/>
    <x v="2"/>
    <n v="7"/>
    <x v="0"/>
    <s v="Stable"/>
    <x v="0"/>
    <x v="1"/>
    <n v="4000"/>
    <x v="2"/>
    <x v="0"/>
    <x v="2"/>
  </r>
  <r>
    <x v="45"/>
    <n v="55"/>
    <x v="0"/>
    <x v="0"/>
    <x v="0"/>
    <x v="14"/>
    <x v="45"/>
    <x v="18"/>
    <x v="1"/>
    <n v="8"/>
    <x v="1"/>
    <s v="Recovered"/>
    <x v="1"/>
    <x v="1"/>
    <n v="15000"/>
    <x v="0"/>
    <x v="1"/>
    <x v="1"/>
  </r>
  <r>
    <x v="46"/>
    <n v="62"/>
    <x v="1"/>
    <x v="1"/>
    <x v="1"/>
    <x v="45"/>
    <x v="46"/>
    <x v="1"/>
    <x v="0"/>
    <n v="6"/>
    <x v="0"/>
    <s v="Stable"/>
    <x v="0"/>
    <x v="1"/>
    <n v="2000"/>
    <x v="2"/>
    <x v="0"/>
    <x v="0"/>
  </r>
  <r>
    <x v="47"/>
    <n v="35"/>
    <x v="0"/>
    <x v="2"/>
    <x v="2"/>
    <x v="46"/>
    <x v="47"/>
    <x v="2"/>
    <x v="1"/>
    <n v="4"/>
    <x v="1"/>
    <s v="Recovered"/>
    <x v="2"/>
    <x v="1"/>
    <n v="500"/>
    <x v="1"/>
    <x v="0"/>
    <x v="1"/>
  </r>
  <r>
    <x v="48"/>
    <n v="78"/>
    <x v="1"/>
    <x v="3"/>
    <x v="3"/>
    <x v="47"/>
    <x v="48"/>
    <x v="16"/>
    <x v="2"/>
    <n v="10"/>
    <x v="0"/>
    <s v="Stable"/>
    <x v="3"/>
    <x v="1"/>
    <n v="10000"/>
    <x v="2"/>
    <x v="1"/>
    <x v="2"/>
  </r>
  <r>
    <x v="49"/>
    <n v="53"/>
    <x v="0"/>
    <x v="4"/>
    <x v="4"/>
    <x v="48"/>
    <x v="49"/>
    <x v="4"/>
    <x v="2"/>
    <n v="13"/>
    <x v="1"/>
    <s v="Recovered"/>
    <x v="0"/>
    <x v="1"/>
    <n v="25000"/>
    <x v="0"/>
    <x v="1"/>
    <x v="2"/>
  </r>
  <r>
    <x v="50"/>
    <n v="72"/>
    <x v="1"/>
    <x v="5"/>
    <x v="5"/>
    <x v="49"/>
    <x v="50"/>
    <x v="0"/>
    <x v="0"/>
    <n v="5"/>
    <x v="0"/>
    <s v="Stable"/>
    <x v="0"/>
    <x v="0"/>
    <n v="1000"/>
    <x v="2"/>
    <x v="0"/>
    <x v="0"/>
  </r>
  <r>
    <x v="51"/>
    <n v="60"/>
    <x v="0"/>
    <x v="6"/>
    <x v="6"/>
    <x v="50"/>
    <x v="51"/>
    <x v="21"/>
    <x v="2"/>
    <n v="7"/>
    <x v="1"/>
    <s v="Recovered"/>
    <x v="1"/>
    <x v="0"/>
    <n v="8000"/>
    <x v="0"/>
    <x v="0"/>
    <x v="2"/>
  </r>
  <r>
    <x v="52"/>
    <n v="45"/>
    <x v="1"/>
    <x v="7"/>
    <x v="7"/>
    <x v="51"/>
    <x v="52"/>
    <x v="18"/>
    <x v="1"/>
    <n v="9"/>
    <x v="0"/>
    <s v="Recovered"/>
    <x v="0"/>
    <x v="1"/>
    <n v="3000"/>
    <x v="0"/>
    <x v="1"/>
    <x v="1"/>
  </r>
  <r>
    <x v="53"/>
    <n v="75"/>
    <x v="0"/>
    <x v="8"/>
    <x v="8"/>
    <x v="52"/>
    <x v="53"/>
    <x v="0"/>
    <x v="3"/>
    <n v="11"/>
    <x v="1"/>
    <s v="Stable"/>
    <x v="3"/>
    <x v="1"/>
    <n v="18000"/>
    <x v="2"/>
    <x v="1"/>
    <x v="3"/>
  </r>
  <r>
    <x v="54"/>
    <n v="28"/>
    <x v="1"/>
    <x v="9"/>
    <x v="9"/>
    <x v="53"/>
    <x v="54"/>
    <x v="23"/>
    <x v="2"/>
    <n v="4"/>
    <x v="0"/>
    <s v="Recovered"/>
    <x v="2"/>
    <x v="0"/>
    <n v="100"/>
    <x v="1"/>
    <x v="0"/>
    <x v="2"/>
  </r>
  <r>
    <x v="55"/>
    <n v="52"/>
    <x v="0"/>
    <x v="10"/>
    <x v="10"/>
    <x v="54"/>
    <x v="55"/>
    <x v="8"/>
    <x v="0"/>
    <n v="5"/>
    <x v="0"/>
    <s v="Stable"/>
    <x v="0"/>
    <x v="0"/>
    <n v="800"/>
    <x v="0"/>
    <x v="0"/>
    <x v="0"/>
  </r>
  <r>
    <x v="56"/>
    <n v="67"/>
    <x v="1"/>
    <x v="11"/>
    <x v="11"/>
    <x v="55"/>
    <x v="56"/>
    <x v="2"/>
    <x v="0"/>
    <n v="12"/>
    <x v="0"/>
    <s v="Recovered"/>
    <x v="1"/>
    <x v="1"/>
    <n v="20000"/>
    <x v="2"/>
    <x v="1"/>
    <x v="0"/>
  </r>
  <r>
    <x v="57"/>
    <n v="35"/>
    <x v="0"/>
    <x v="12"/>
    <x v="12"/>
    <x v="56"/>
    <x v="57"/>
    <x v="17"/>
    <x v="1"/>
    <n v="6"/>
    <x v="0"/>
    <s v="Recovered"/>
    <x v="0"/>
    <x v="1"/>
    <n v="12000"/>
    <x v="1"/>
    <x v="0"/>
    <x v="1"/>
  </r>
  <r>
    <x v="58"/>
    <n v="50"/>
    <x v="1"/>
    <x v="13"/>
    <x v="13"/>
    <x v="57"/>
    <x v="58"/>
    <x v="25"/>
    <x v="0"/>
    <n v="7"/>
    <x v="0"/>
    <s v="Recovered"/>
    <x v="1"/>
    <x v="1"/>
    <n v="6000"/>
    <x v="0"/>
    <x v="0"/>
    <x v="0"/>
  </r>
  <r>
    <x v="59"/>
    <n v="48"/>
    <x v="0"/>
    <x v="0"/>
    <x v="0"/>
    <x v="58"/>
    <x v="59"/>
    <x v="0"/>
    <x v="0"/>
    <n v="9"/>
    <x v="1"/>
    <s v="Recovered"/>
    <x v="0"/>
    <x v="1"/>
    <n v="15000"/>
    <x v="0"/>
    <x v="1"/>
    <x v="0"/>
  </r>
  <r>
    <x v="60"/>
    <n v="65"/>
    <x v="1"/>
    <x v="1"/>
    <x v="1"/>
    <x v="59"/>
    <x v="33"/>
    <x v="20"/>
    <x v="2"/>
    <n v="7"/>
    <x v="0"/>
    <s v="Stable"/>
    <x v="1"/>
    <x v="0"/>
    <n v="2000"/>
    <x v="2"/>
    <x v="0"/>
    <x v="2"/>
  </r>
  <r>
    <x v="61"/>
    <n v="30"/>
    <x v="0"/>
    <x v="2"/>
    <x v="2"/>
    <x v="60"/>
    <x v="60"/>
    <x v="2"/>
    <x v="0"/>
    <n v="5"/>
    <x v="0"/>
    <s v="Recovered"/>
    <x v="2"/>
    <x v="1"/>
    <n v="500"/>
    <x v="1"/>
    <x v="0"/>
    <x v="0"/>
  </r>
  <r>
    <x v="62"/>
    <n v="70"/>
    <x v="1"/>
    <x v="3"/>
    <x v="3"/>
    <x v="61"/>
    <x v="61"/>
    <x v="4"/>
    <x v="1"/>
    <n v="11"/>
    <x v="1"/>
    <s v="Stable"/>
    <x v="3"/>
    <x v="1"/>
    <n v="10000"/>
    <x v="2"/>
    <x v="1"/>
    <x v="1"/>
  </r>
  <r>
    <x v="63"/>
    <n v="55"/>
    <x v="0"/>
    <x v="4"/>
    <x v="4"/>
    <x v="62"/>
    <x v="62"/>
    <x v="4"/>
    <x v="0"/>
    <n v="14"/>
    <x v="0"/>
    <s v="Recovered"/>
    <x v="0"/>
    <x v="0"/>
    <n v="25000"/>
    <x v="0"/>
    <x v="1"/>
    <x v="0"/>
  </r>
  <r>
    <x v="64"/>
    <n v="68"/>
    <x v="1"/>
    <x v="5"/>
    <x v="5"/>
    <x v="63"/>
    <x v="63"/>
    <x v="0"/>
    <x v="1"/>
    <n v="6"/>
    <x v="0"/>
    <s v="Stable"/>
    <x v="0"/>
    <x v="1"/>
    <n v="1000"/>
    <x v="2"/>
    <x v="0"/>
    <x v="1"/>
  </r>
  <r>
    <x v="65"/>
    <n v="45"/>
    <x v="0"/>
    <x v="6"/>
    <x v="6"/>
    <x v="64"/>
    <x v="64"/>
    <x v="0"/>
    <x v="3"/>
    <n v="8"/>
    <x v="0"/>
    <s v="Recovered"/>
    <x v="1"/>
    <x v="1"/>
    <n v="8000"/>
    <x v="0"/>
    <x v="1"/>
    <x v="3"/>
  </r>
  <r>
    <x v="66"/>
    <n v="40"/>
    <x v="1"/>
    <x v="7"/>
    <x v="7"/>
    <x v="65"/>
    <x v="22"/>
    <x v="20"/>
    <x v="0"/>
    <n v="10"/>
    <x v="0"/>
    <s v="Recovered"/>
    <x v="0"/>
    <x v="1"/>
    <n v="3000"/>
    <x v="0"/>
    <x v="1"/>
    <x v="0"/>
  </r>
  <r>
    <x v="67"/>
    <n v="78"/>
    <x v="0"/>
    <x v="8"/>
    <x v="8"/>
    <x v="66"/>
    <x v="65"/>
    <x v="14"/>
    <x v="2"/>
    <n v="12"/>
    <x v="1"/>
    <s v="Stable"/>
    <x v="3"/>
    <x v="0"/>
    <n v="18000"/>
    <x v="2"/>
    <x v="1"/>
    <x v="2"/>
  </r>
  <r>
    <x v="68"/>
    <n v="25"/>
    <x v="1"/>
    <x v="9"/>
    <x v="9"/>
    <x v="67"/>
    <x v="66"/>
    <x v="23"/>
    <x v="1"/>
    <n v="5"/>
    <x v="0"/>
    <s v="Recovered"/>
    <x v="2"/>
    <x v="1"/>
    <n v="100"/>
    <x v="1"/>
    <x v="0"/>
    <x v="1"/>
  </r>
  <r>
    <x v="69"/>
    <n v="52"/>
    <x v="0"/>
    <x v="10"/>
    <x v="10"/>
    <x v="68"/>
    <x v="67"/>
    <x v="8"/>
    <x v="0"/>
    <n v="6"/>
    <x v="0"/>
    <s v="Stable"/>
    <x v="0"/>
    <x v="1"/>
    <n v="800"/>
    <x v="0"/>
    <x v="0"/>
    <x v="0"/>
  </r>
  <r>
    <x v="70"/>
    <n v="58"/>
    <x v="1"/>
    <x v="11"/>
    <x v="11"/>
    <x v="69"/>
    <x v="68"/>
    <x v="8"/>
    <x v="1"/>
    <n v="13"/>
    <x v="0"/>
    <s v="Recovered"/>
    <x v="1"/>
    <x v="1"/>
    <n v="20000"/>
    <x v="0"/>
    <x v="1"/>
    <x v="1"/>
  </r>
  <r>
    <x v="71"/>
    <n v="32"/>
    <x v="0"/>
    <x v="12"/>
    <x v="12"/>
    <x v="70"/>
    <x v="69"/>
    <x v="17"/>
    <x v="0"/>
    <n v="7"/>
    <x v="0"/>
    <s v="Recovered"/>
    <x v="0"/>
    <x v="0"/>
    <n v="12000"/>
    <x v="1"/>
    <x v="0"/>
    <x v="0"/>
  </r>
  <r>
    <x v="72"/>
    <n v="55"/>
    <x v="1"/>
    <x v="13"/>
    <x v="13"/>
    <x v="71"/>
    <x v="70"/>
    <x v="7"/>
    <x v="0"/>
    <n v="8"/>
    <x v="0"/>
    <s v="Recovered"/>
    <x v="1"/>
    <x v="1"/>
    <n v="6000"/>
    <x v="0"/>
    <x v="1"/>
    <x v="0"/>
  </r>
  <r>
    <x v="73"/>
    <n v="65"/>
    <x v="0"/>
    <x v="14"/>
    <x v="14"/>
    <x v="72"/>
    <x v="71"/>
    <x v="24"/>
    <x v="1"/>
    <n v="9"/>
    <x v="0"/>
    <s v="Stable"/>
    <x v="0"/>
    <x v="1"/>
    <n v="4000"/>
    <x v="2"/>
    <x v="1"/>
    <x v="1"/>
  </r>
  <r>
    <x v="74"/>
    <n v="55"/>
    <x v="0"/>
    <x v="0"/>
    <x v="0"/>
    <x v="73"/>
    <x v="72"/>
    <x v="0"/>
    <x v="2"/>
    <n v="10"/>
    <x v="1"/>
    <s v="Recovered"/>
    <x v="1"/>
    <x v="1"/>
    <n v="15000"/>
    <x v="0"/>
    <x v="1"/>
    <x v="2"/>
  </r>
  <r>
    <x v="75"/>
    <n v="62"/>
    <x v="1"/>
    <x v="1"/>
    <x v="1"/>
    <x v="74"/>
    <x v="73"/>
    <x v="0"/>
    <x v="2"/>
    <n v="8"/>
    <x v="0"/>
    <s v="Stable"/>
    <x v="0"/>
    <x v="0"/>
    <n v="2000"/>
    <x v="2"/>
    <x v="1"/>
    <x v="2"/>
  </r>
  <r>
    <x v="76"/>
    <n v="35"/>
    <x v="0"/>
    <x v="2"/>
    <x v="2"/>
    <x v="75"/>
    <x v="74"/>
    <x v="19"/>
    <x v="3"/>
    <n v="6"/>
    <x v="1"/>
    <s v="Recovered"/>
    <x v="2"/>
    <x v="0"/>
    <n v="500"/>
    <x v="1"/>
    <x v="0"/>
    <x v="3"/>
  </r>
  <r>
    <x v="77"/>
    <n v="78"/>
    <x v="1"/>
    <x v="3"/>
    <x v="3"/>
    <x v="76"/>
    <x v="75"/>
    <x v="3"/>
    <x v="2"/>
    <n v="12"/>
    <x v="0"/>
    <s v="Stable"/>
    <x v="3"/>
    <x v="0"/>
    <n v="10000"/>
    <x v="2"/>
    <x v="1"/>
    <x v="2"/>
  </r>
  <r>
    <x v="78"/>
    <n v="53"/>
    <x v="0"/>
    <x v="4"/>
    <x v="4"/>
    <x v="77"/>
    <x v="76"/>
    <x v="13"/>
    <x v="3"/>
    <n v="15"/>
    <x v="1"/>
    <s v="Recovered"/>
    <x v="0"/>
    <x v="1"/>
    <n v="25000"/>
    <x v="0"/>
    <x v="2"/>
    <x v="3"/>
  </r>
  <r>
    <x v="79"/>
    <n v="72"/>
    <x v="1"/>
    <x v="5"/>
    <x v="5"/>
    <x v="78"/>
    <x v="77"/>
    <x v="0"/>
    <x v="3"/>
    <n v="7"/>
    <x v="0"/>
    <s v="Stable"/>
    <x v="0"/>
    <x v="0"/>
    <n v="1000"/>
    <x v="2"/>
    <x v="0"/>
    <x v="3"/>
  </r>
  <r>
    <x v="80"/>
    <n v="60"/>
    <x v="0"/>
    <x v="6"/>
    <x v="6"/>
    <x v="79"/>
    <x v="78"/>
    <x v="6"/>
    <x v="2"/>
    <n v="9"/>
    <x v="1"/>
    <s v="Recovered"/>
    <x v="1"/>
    <x v="1"/>
    <n v="8000"/>
    <x v="0"/>
    <x v="1"/>
    <x v="2"/>
  </r>
  <r>
    <x v="81"/>
    <n v="45"/>
    <x v="1"/>
    <x v="7"/>
    <x v="7"/>
    <x v="66"/>
    <x v="79"/>
    <x v="20"/>
    <x v="2"/>
    <n v="11"/>
    <x v="0"/>
    <s v="Recovered"/>
    <x v="0"/>
    <x v="1"/>
    <n v="3000"/>
    <x v="0"/>
    <x v="1"/>
    <x v="2"/>
  </r>
  <r>
    <x v="82"/>
    <n v="75"/>
    <x v="0"/>
    <x v="8"/>
    <x v="8"/>
    <x v="80"/>
    <x v="80"/>
    <x v="18"/>
    <x v="3"/>
    <n v="13"/>
    <x v="1"/>
    <s v="Stable"/>
    <x v="3"/>
    <x v="1"/>
    <n v="18000"/>
    <x v="2"/>
    <x v="1"/>
    <x v="3"/>
  </r>
  <r>
    <x v="83"/>
    <n v="28"/>
    <x v="1"/>
    <x v="9"/>
    <x v="9"/>
    <x v="81"/>
    <x v="81"/>
    <x v="22"/>
    <x v="1"/>
    <n v="6"/>
    <x v="0"/>
    <s v="Recovered"/>
    <x v="2"/>
    <x v="1"/>
    <n v="100"/>
    <x v="1"/>
    <x v="0"/>
    <x v="1"/>
  </r>
  <r>
    <x v="84"/>
    <n v="52"/>
    <x v="0"/>
    <x v="10"/>
    <x v="10"/>
    <x v="82"/>
    <x v="82"/>
    <x v="13"/>
    <x v="2"/>
    <n v="7"/>
    <x v="0"/>
    <s v="Stable"/>
    <x v="0"/>
    <x v="0"/>
    <n v="800"/>
    <x v="0"/>
    <x v="0"/>
    <x v="2"/>
  </r>
  <r>
    <x v="85"/>
    <n v="67"/>
    <x v="1"/>
    <x v="11"/>
    <x v="11"/>
    <x v="13"/>
    <x v="83"/>
    <x v="16"/>
    <x v="2"/>
    <n v="14"/>
    <x v="0"/>
    <s v="Recovered"/>
    <x v="1"/>
    <x v="0"/>
    <n v="20000"/>
    <x v="2"/>
    <x v="1"/>
    <x v="2"/>
  </r>
  <r>
    <x v="86"/>
    <n v="35"/>
    <x v="0"/>
    <x v="12"/>
    <x v="12"/>
    <x v="83"/>
    <x v="84"/>
    <x v="9"/>
    <x v="1"/>
    <n v="8"/>
    <x v="0"/>
    <s v="Recovered"/>
    <x v="0"/>
    <x v="0"/>
    <n v="12000"/>
    <x v="1"/>
    <x v="1"/>
    <x v="1"/>
  </r>
  <r>
    <x v="87"/>
    <n v="50"/>
    <x v="1"/>
    <x v="13"/>
    <x v="13"/>
    <x v="84"/>
    <x v="47"/>
    <x v="7"/>
    <x v="1"/>
    <n v="9"/>
    <x v="0"/>
    <s v="Recovered"/>
    <x v="1"/>
    <x v="1"/>
    <n v="6000"/>
    <x v="0"/>
    <x v="1"/>
    <x v="1"/>
  </r>
  <r>
    <x v="88"/>
    <n v="60"/>
    <x v="0"/>
    <x v="14"/>
    <x v="14"/>
    <x v="85"/>
    <x v="85"/>
    <x v="10"/>
    <x v="2"/>
    <n v="10"/>
    <x v="0"/>
    <s v="Stable"/>
    <x v="0"/>
    <x v="0"/>
    <n v="4000"/>
    <x v="0"/>
    <x v="1"/>
    <x v="2"/>
  </r>
  <r>
    <x v="89"/>
    <n v="48"/>
    <x v="0"/>
    <x v="0"/>
    <x v="0"/>
    <x v="86"/>
    <x v="86"/>
    <x v="0"/>
    <x v="0"/>
    <n v="11"/>
    <x v="1"/>
    <s v="Recovered"/>
    <x v="0"/>
    <x v="0"/>
    <n v="15000"/>
    <x v="0"/>
    <x v="1"/>
    <x v="0"/>
  </r>
  <r>
    <x v="90"/>
    <n v="65"/>
    <x v="1"/>
    <x v="1"/>
    <x v="1"/>
    <x v="87"/>
    <x v="87"/>
    <x v="0"/>
    <x v="2"/>
    <n v="9"/>
    <x v="0"/>
    <s v="Stable"/>
    <x v="1"/>
    <x v="1"/>
    <n v="2000"/>
    <x v="2"/>
    <x v="1"/>
    <x v="2"/>
  </r>
  <r>
    <x v="91"/>
    <n v="30"/>
    <x v="0"/>
    <x v="2"/>
    <x v="2"/>
    <x v="88"/>
    <x v="88"/>
    <x v="26"/>
    <x v="1"/>
    <n v="7"/>
    <x v="0"/>
    <s v="Recovered"/>
    <x v="2"/>
    <x v="1"/>
    <n v="500"/>
    <x v="1"/>
    <x v="0"/>
    <x v="1"/>
  </r>
  <r>
    <x v="92"/>
    <n v="70"/>
    <x v="1"/>
    <x v="3"/>
    <x v="3"/>
    <x v="89"/>
    <x v="89"/>
    <x v="3"/>
    <x v="3"/>
    <n v="13"/>
    <x v="1"/>
    <s v="Stable"/>
    <x v="3"/>
    <x v="1"/>
    <n v="10000"/>
    <x v="2"/>
    <x v="1"/>
    <x v="3"/>
  </r>
  <r>
    <x v="93"/>
    <n v="55"/>
    <x v="0"/>
    <x v="4"/>
    <x v="4"/>
    <x v="90"/>
    <x v="90"/>
    <x v="16"/>
    <x v="3"/>
    <n v="16"/>
    <x v="0"/>
    <s v="Recovered"/>
    <x v="0"/>
    <x v="1"/>
    <n v="25000"/>
    <x v="0"/>
    <x v="2"/>
    <x v="3"/>
  </r>
  <r>
    <x v="94"/>
    <n v="68"/>
    <x v="1"/>
    <x v="5"/>
    <x v="5"/>
    <x v="91"/>
    <x v="91"/>
    <x v="18"/>
    <x v="3"/>
    <n v="8"/>
    <x v="0"/>
    <s v="Stable"/>
    <x v="0"/>
    <x v="0"/>
    <n v="1000"/>
    <x v="2"/>
    <x v="1"/>
    <x v="3"/>
  </r>
  <r>
    <x v="95"/>
    <n v="45"/>
    <x v="0"/>
    <x v="6"/>
    <x v="6"/>
    <x v="92"/>
    <x v="92"/>
    <x v="22"/>
    <x v="3"/>
    <n v="10"/>
    <x v="0"/>
    <s v="Recovered"/>
    <x v="1"/>
    <x v="1"/>
    <n v="8000"/>
    <x v="0"/>
    <x v="1"/>
    <x v="3"/>
  </r>
  <r>
    <x v="96"/>
    <n v="40"/>
    <x v="1"/>
    <x v="7"/>
    <x v="7"/>
    <x v="93"/>
    <x v="93"/>
    <x v="7"/>
    <x v="3"/>
    <n v="12"/>
    <x v="0"/>
    <s v="Recovered"/>
    <x v="0"/>
    <x v="1"/>
    <n v="3000"/>
    <x v="0"/>
    <x v="1"/>
    <x v="3"/>
  </r>
  <r>
    <x v="97"/>
    <n v="78"/>
    <x v="0"/>
    <x v="8"/>
    <x v="8"/>
    <x v="94"/>
    <x v="94"/>
    <x v="18"/>
    <x v="3"/>
    <n v="14"/>
    <x v="1"/>
    <s v="Stable"/>
    <x v="3"/>
    <x v="1"/>
    <n v="18000"/>
    <x v="2"/>
    <x v="1"/>
    <x v="3"/>
  </r>
  <r>
    <x v="98"/>
    <n v="25"/>
    <x v="1"/>
    <x v="9"/>
    <x v="9"/>
    <x v="95"/>
    <x v="95"/>
    <x v="0"/>
    <x v="3"/>
    <n v="7"/>
    <x v="0"/>
    <s v="Recovered"/>
    <x v="2"/>
    <x v="0"/>
    <n v="100"/>
    <x v="1"/>
    <x v="0"/>
    <x v="3"/>
  </r>
  <r>
    <x v="99"/>
    <n v="52"/>
    <x v="0"/>
    <x v="10"/>
    <x v="10"/>
    <x v="96"/>
    <x v="96"/>
    <x v="15"/>
    <x v="0"/>
    <n v="8"/>
    <x v="0"/>
    <s v="Stable"/>
    <x v="0"/>
    <x v="1"/>
    <n v="800"/>
    <x v="0"/>
    <x v="1"/>
    <x v="0"/>
  </r>
  <r>
    <x v="100"/>
    <n v="58"/>
    <x v="1"/>
    <x v="11"/>
    <x v="11"/>
    <x v="97"/>
    <x v="97"/>
    <x v="6"/>
    <x v="1"/>
    <n v="15"/>
    <x v="0"/>
    <s v="Recovered"/>
    <x v="1"/>
    <x v="0"/>
    <n v="20000"/>
    <x v="0"/>
    <x v="2"/>
    <x v="1"/>
  </r>
  <r>
    <x v="101"/>
    <n v="32"/>
    <x v="0"/>
    <x v="12"/>
    <x v="12"/>
    <x v="98"/>
    <x v="98"/>
    <x v="9"/>
    <x v="1"/>
    <n v="9"/>
    <x v="0"/>
    <s v="Recovered"/>
    <x v="0"/>
    <x v="1"/>
    <n v="12000"/>
    <x v="1"/>
    <x v="1"/>
    <x v="1"/>
  </r>
  <r>
    <x v="102"/>
    <n v="55"/>
    <x v="1"/>
    <x v="13"/>
    <x v="13"/>
    <x v="99"/>
    <x v="99"/>
    <x v="8"/>
    <x v="0"/>
    <n v="10"/>
    <x v="0"/>
    <s v="Recovered"/>
    <x v="1"/>
    <x v="1"/>
    <n v="6000"/>
    <x v="0"/>
    <x v="1"/>
    <x v="0"/>
  </r>
  <r>
    <x v="103"/>
    <n v="65"/>
    <x v="0"/>
    <x v="14"/>
    <x v="14"/>
    <x v="100"/>
    <x v="100"/>
    <x v="22"/>
    <x v="0"/>
    <n v="11"/>
    <x v="0"/>
    <s v="Stable"/>
    <x v="0"/>
    <x v="1"/>
    <n v="4000"/>
    <x v="2"/>
    <x v="1"/>
    <x v="0"/>
  </r>
  <r>
    <x v="104"/>
    <n v="55"/>
    <x v="0"/>
    <x v="0"/>
    <x v="0"/>
    <x v="101"/>
    <x v="101"/>
    <x v="18"/>
    <x v="2"/>
    <n v="12"/>
    <x v="1"/>
    <s v="Recovered"/>
    <x v="1"/>
    <x v="0"/>
    <n v="15000"/>
    <x v="0"/>
    <x v="1"/>
    <x v="2"/>
  </r>
  <r>
    <x v="105"/>
    <n v="62"/>
    <x v="1"/>
    <x v="1"/>
    <x v="1"/>
    <x v="102"/>
    <x v="102"/>
    <x v="0"/>
    <x v="0"/>
    <n v="10"/>
    <x v="0"/>
    <s v="Stable"/>
    <x v="0"/>
    <x v="1"/>
    <n v="2000"/>
    <x v="2"/>
    <x v="1"/>
    <x v="0"/>
  </r>
  <r>
    <x v="106"/>
    <n v="35"/>
    <x v="0"/>
    <x v="2"/>
    <x v="2"/>
    <x v="103"/>
    <x v="103"/>
    <x v="2"/>
    <x v="0"/>
    <n v="8"/>
    <x v="1"/>
    <s v="Recovered"/>
    <x v="2"/>
    <x v="1"/>
    <n v="500"/>
    <x v="1"/>
    <x v="1"/>
    <x v="0"/>
  </r>
  <r>
    <x v="107"/>
    <n v="78"/>
    <x v="1"/>
    <x v="3"/>
    <x v="3"/>
    <x v="104"/>
    <x v="104"/>
    <x v="3"/>
    <x v="3"/>
    <n v="14"/>
    <x v="0"/>
    <s v="Stable"/>
    <x v="3"/>
    <x v="1"/>
    <n v="10000"/>
    <x v="2"/>
    <x v="1"/>
    <x v="3"/>
  </r>
  <r>
    <x v="108"/>
    <n v="53"/>
    <x v="0"/>
    <x v="4"/>
    <x v="4"/>
    <x v="105"/>
    <x v="105"/>
    <x v="11"/>
    <x v="1"/>
    <n v="17"/>
    <x v="1"/>
    <s v="Recovered"/>
    <x v="0"/>
    <x v="1"/>
    <n v="25000"/>
    <x v="0"/>
    <x v="2"/>
    <x v="1"/>
  </r>
  <r>
    <x v="109"/>
    <n v="72"/>
    <x v="1"/>
    <x v="5"/>
    <x v="5"/>
    <x v="106"/>
    <x v="106"/>
    <x v="18"/>
    <x v="1"/>
    <n v="9"/>
    <x v="0"/>
    <s v="Stable"/>
    <x v="0"/>
    <x v="0"/>
    <n v="1000"/>
    <x v="2"/>
    <x v="1"/>
    <x v="1"/>
  </r>
  <r>
    <x v="110"/>
    <n v="60"/>
    <x v="0"/>
    <x v="6"/>
    <x v="6"/>
    <x v="107"/>
    <x v="107"/>
    <x v="0"/>
    <x v="0"/>
    <n v="11"/>
    <x v="1"/>
    <s v="Recovered"/>
    <x v="1"/>
    <x v="0"/>
    <n v="8000"/>
    <x v="0"/>
    <x v="1"/>
    <x v="0"/>
  </r>
  <r>
    <x v="111"/>
    <n v="45"/>
    <x v="1"/>
    <x v="7"/>
    <x v="7"/>
    <x v="108"/>
    <x v="54"/>
    <x v="7"/>
    <x v="2"/>
    <n v="13"/>
    <x v="0"/>
    <s v="Recovered"/>
    <x v="0"/>
    <x v="1"/>
    <n v="3000"/>
    <x v="0"/>
    <x v="1"/>
    <x v="2"/>
  </r>
  <r>
    <x v="112"/>
    <n v="75"/>
    <x v="0"/>
    <x v="8"/>
    <x v="8"/>
    <x v="109"/>
    <x v="100"/>
    <x v="18"/>
    <x v="0"/>
    <n v="15"/>
    <x v="1"/>
    <s v="Stable"/>
    <x v="3"/>
    <x v="0"/>
    <n v="18000"/>
    <x v="2"/>
    <x v="2"/>
    <x v="0"/>
  </r>
  <r>
    <x v="113"/>
    <n v="28"/>
    <x v="1"/>
    <x v="9"/>
    <x v="9"/>
    <x v="110"/>
    <x v="108"/>
    <x v="0"/>
    <x v="2"/>
    <n v="8"/>
    <x v="0"/>
    <s v="Recovered"/>
    <x v="2"/>
    <x v="1"/>
    <n v="100"/>
    <x v="1"/>
    <x v="1"/>
    <x v="2"/>
  </r>
  <r>
    <x v="114"/>
    <n v="52"/>
    <x v="0"/>
    <x v="10"/>
    <x v="10"/>
    <x v="111"/>
    <x v="8"/>
    <x v="20"/>
    <x v="1"/>
    <n v="9"/>
    <x v="0"/>
    <s v="Stable"/>
    <x v="0"/>
    <x v="1"/>
    <n v="800"/>
    <x v="0"/>
    <x v="1"/>
    <x v="1"/>
  </r>
  <r>
    <x v="115"/>
    <n v="67"/>
    <x v="1"/>
    <x v="11"/>
    <x v="11"/>
    <x v="112"/>
    <x v="109"/>
    <x v="16"/>
    <x v="2"/>
    <n v="16"/>
    <x v="0"/>
    <s v="Recovered"/>
    <x v="1"/>
    <x v="1"/>
    <n v="20000"/>
    <x v="2"/>
    <x v="2"/>
    <x v="2"/>
  </r>
  <r>
    <x v="116"/>
    <n v="35"/>
    <x v="0"/>
    <x v="12"/>
    <x v="12"/>
    <x v="113"/>
    <x v="110"/>
    <x v="25"/>
    <x v="0"/>
    <n v="10"/>
    <x v="0"/>
    <s v="Recovered"/>
    <x v="0"/>
    <x v="0"/>
    <n v="12000"/>
    <x v="1"/>
    <x v="1"/>
    <x v="0"/>
  </r>
  <r>
    <x v="117"/>
    <n v="50"/>
    <x v="1"/>
    <x v="13"/>
    <x v="13"/>
    <x v="114"/>
    <x v="111"/>
    <x v="8"/>
    <x v="0"/>
    <n v="11"/>
    <x v="0"/>
    <s v="Recovered"/>
    <x v="1"/>
    <x v="1"/>
    <n v="6000"/>
    <x v="0"/>
    <x v="1"/>
    <x v="0"/>
  </r>
  <r>
    <x v="118"/>
    <n v="60"/>
    <x v="0"/>
    <x v="14"/>
    <x v="14"/>
    <x v="115"/>
    <x v="112"/>
    <x v="22"/>
    <x v="2"/>
    <n v="12"/>
    <x v="0"/>
    <s v="Stable"/>
    <x v="0"/>
    <x v="1"/>
    <n v="4000"/>
    <x v="0"/>
    <x v="1"/>
    <x v="4"/>
  </r>
  <r>
    <x v="119"/>
    <n v="65"/>
    <x v="1"/>
    <x v="1"/>
    <x v="1"/>
    <x v="116"/>
    <x v="113"/>
    <x v="20"/>
    <x v="2"/>
    <n v="11"/>
    <x v="0"/>
    <s v="Stable"/>
    <x v="1"/>
    <x v="1"/>
    <n v="2000"/>
    <x v="2"/>
    <x v="1"/>
    <x v="2"/>
  </r>
  <r>
    <x v="120"/>
    <n v="30"/>
    <x v="0"/>
    <x v="2"/>
    <x v="2"/>
    <x v="117"/>
    <x v="114"/>
    <x v="2"/>
    <x v="2"/>
    <n v="9"/>
    <x v="0"/>
    <s v="Recovered"/>
    <x v="2"/>
    <x v="0"/>
    <n v="500"/>
    <x v="1"/>
    <x v="1"/>
    <x v="2"/>
  </r>
  <r>
    <x v="121"/>
    <n v="70"/>
    <x v="1"/>
    <x v="3"/>
    <x v="3"/>
    <x v="118"/>
    <x v="115"/>
    <x v="4"/>
    <x v="0"/>
    <n v="15"/>
    <x v="1"/>
    <s v="Stable"/>
    <x v="3"/>
    <x v="1"/>
    <n v="10000"/>
    <x v="2"/>
    <x v="2"/>
    <x v="0"/>
  </r>
  <r>
    <x v="122"/>
    <n v="55"/>
    <x v="0"/>
    <x v="4"/>
    <x v="4"/>
    <x v="119"/>
    <x v="116"/>
    <x v="0"/>
    <x v="1"/>
    <n v="18"/>
    <x v="0"/>
    <s v="Recovered"/>
    <x v="0"/>
    <x v="1"/>
    <n v="25000"/>
    <x v="0"/>
    <x v="2"/>
    <x v="1"/>
  </r>
  <r>
    <x v="123"/>
    <n v="68"/>
    <x v="1"/>
    <x v="5"/>
    <x v="5"/>
    <x v="120"/>
    <x v="117"/>
    <x v="1"/>
    <x v="3"/>
    <n v="10"/>
    <x v="0"/>
    <s v="Stable"/>
    <x v="0"/>
    <x v="0"/>
    <n v="1000"/>
    <x v="2"/>
    <x v="1"/>
    <x v="3"/>
  </r>
  <r>
    <x v="124"/>
    <n v="45"/>
    <x v="0"/>
    <x v="6"/>
    <x v="6"/>
    <x v="121"/>
    <x v="118"/>
    <x v="6"/>
    <x v="2"/>
    <n v="12"/>
    <x v="0"/>
    <s v="Recovered"/>
    <x v="1"/>
    <x v="1"/>
    <n v="8000"/>
    <x v="0"/>
    <x v="1"/>
    <x v="2"/>
  </r>
  <r>
    <x v="125"/>
    <n v="40"/>
    <x v="1"/>
    <x v="7"/>
    <x v="7"/>
    <x v="97"/>
    <x v="119"/>
    <x v="20"/>
    <x v="1"/>
    <n v="14"/>
    <x v="0"/>
    <s v="Recovered"/>
    <x v="0"/>
    <x v="0"/>
    <n v="3000"/>
    <x v="0"/>
    <x v="1"/>
    <x v="1"/>
  </r>
  <r>
    <x v="126"/>
    <n v="78"/>
    <x v="0"/>
    <x v="8"/>
    <x v="8"/>
    <x v="122"/>
    <x v="120"/>
    <x v="14"/>
    <x v="3"/>
    <n v="16"/>
    <x v="1"/>
    <s v="Stable"/>
    <x v="3"/>
    <x v="1"/>
    <n v="18000"/>
    <x v="2"/>
    <x v="2"/>
    <x v="3"/>
  </r>
  <r>
    <x v="127"/>
    <n v="25"/>
    <x v="1"/>
    <x v="9"/>
    <x v="9"/>
    <x v="123"/>
    <x v="121"/>
    <x v="0"/>
    <x v="1"/>
    <n v="9"/>
    <x v="0"/>
    <s v="Recovered"/>
    <x v="2"/>
    <x v="0"/>
    <n v="100"/>
    <x v="1"/>
    <x v="1"/>
    <x v="1"/>
  </r>
  <r>
    <x v="128"/>
    <n v="52"/>
    <x v="0"/>
    <x v="10"/>
    <x v="10"/>
    <x v="124"/>
    <x v="122"/>
    <x v="15"/>
    <x v="3"/>
    <n v="10"/>
    <x v="0"/>
    <s v="Stable"/>
    <x v="0"/>
    <x v="1"/>
    <n v="800"/>
    <x v="0"/>
    <x v="1"/>
    <x v="3"/>
  </r>
  <r>
    <x v="129"/>
    <n v="58"/>
    <x v="1"/>
    <x v="11"/>
    <x v="11"/>
    <x v="125"/>
    <x v="123"/>
    <x v="8"/>
    <x v="1"/>
    <n v="17"/>
    <x v="0"/>
    <s v="Recovered"/>
    <x v="1"/>
    <x v="0"/>
    <n v="20000"/>
    <x v="0"/>
    <x v="2"/>
    <x v="1"/>
  </r>
  <r>
    <x v="130"/>
    <n v="32"/>
    <x v="0"/>
    <x v="12"/>
    <x v="12"/>
    <x v="126"/>
    <x v="39"/>
    <x v="24"/>
    <x v="0"/>
    <n v="11"/>
    <x v="0"/>
    <s v="Recovered"/>
    <x v="0"/>
    <x v="0"/>
    <n v="12000"/>
    <x v="1"/>
    <x v="1"/>
    <x v="0"/>
  </r>
  <r>
    <x v="131"/>
    <n v="55"/>
    <x v="1"/>
    <x v="13"/>
    <x v="13"/>
    <x v="127"/>
    <x v="124"/>
    <x v="8"/>
    <x v="1"/>
    <n v="12"/>
    <x v="0"/>
    <s v="Recovered"/>
    <x v="1"/>
    <x v="1"/>
    <n v="6000"/>
    <x v="0"/>
    <x v="1"/>
    <x v="1"/>
  </r>
  <r>
    <x v="132"/>
    <n v="65"/>
    <x v="0"/>
    <x v="14"/>
    <x v="14"/>
    <x v="128"/>
    <x v="125"/>
    <x v="24"/>
    <x v="3"/>
    <n v="13"/>
    <x v="0"/>
    <s v="Stable"/>
    <x v="0"/>
    <x v="0"/>
    <n v="4000"/>
    <x v="2"/>
    <x v="1"/>
    <x v="3"/>
  </r>
  <r>
    <x v="133"/>
    <n v="55"/>
    <x v="0"/>
    <x v="0"/>
    <x v="0"/>
    <x v="96"/>
    <x v="126"/>
    <x v="22"/>
    <x v="0"/>
    <n v="14"/>
    <x v="1"/>
    <s v="Recovered"/>
    <x v="1"/>
    <x v="1"/>
    <n v="15000"/>
    <x v="0"/>
    <x v="1"/>
    <x v="0"/>
  </r>
  <r>
    <x v="134"/>
    <n v="62"/>
    <x v="1"/>
    <x v="1"/>
    <x v="1"/>
    <x v="129"/>
    <x v="127"/>
    <x v="1"/>
    <x v="0"/>
    <n v="12"/>
    <x v="0"/>
    <s v="Stable"/>
    <x v="0"/>
    <x v="1"/>
    <n v="2000"/>
    <x v="2"/>
    <x v="1"/>
    <x v="2"/>
  </r>
  <r>
    <x v="135"/>
    <n v="35"/>
    <x v="0"/>
    <x v="2"/>
    <x v="2"/>
    <x v="130"/>
    <x v="128"/>
    <x v="19"/>
    <x v="1"/>
    <n v="10"/>
    <x v="1"/>
    <s v="Recovered"/>
    <x v="2"/>
    <x v="0"/>
    <n v="500"/>
    <x v="1"/>
    <x v="1"/>
    <x v="1"/>
  </r>
  <r>
    <x v="136"/>
    <n v="78"/>
    <x v="1"/>
    <x v="3"/>
    <x v="3"/>
    <x v="131"/>
    <x v="129"/>
    <x v="16"/>
    <x v="0"/>
    <n v="16"/>
    <x v="0"/>
    <s v="Stable"/>
    <x v="3"/>
    <x v="1"/>
    <n v="10000"/>
    <x v="2"/>
    <x v="2"/>
    <x v="0"/>
  </r>
  <r>
    <x v="137"/>
    <n v="53"/>
    <x v="0"/>
    <x v="4"/>
    <x v="4"/>
    <x v="132"/>
    <x v="87"/>
    <x v="18"/>
    <x v="2"/>
    <n v="19"/>
    <x v="1"/>
    <s v="Recovered"/>
    <x v="0"/>
    <x v="1"/>
    <n v="25000"/>
    <x v="0"/>
    <x v="2"/>
    <x v="2"/>
  </r>
  <r>
    <x v="138"/>
    <n v="72"/>
    <x v="1"/>
    <x v="5"/>
    <x v="5"/>
    <x v="133"/>
    <x v="130"/>
    <x v="1"/>
    <x v="2"/>
    <n v="11"/>
    <x v="0"/>
    <s v="Stable"/>
    <x v="0"/>
    <x v="0"/>
    <n v="1000"/>
    <x v="2"/>
    <x v="1"/>
    <x v="2"/>
  </r>
  <r>
    <x v="139"/>
    <n v="60"/>
    <x v="0"/>
    <x v="6"/>
    <x v="6"/>
    <x v="134"/>
    <x v="131"/>
    <x v="6"/>
    <x v="3"/>
    <n v="13"/>
    <x v="1"/>
    <s v="Recovered"/>
    <x v="1"/>
    <x v="1"/>
    <n v="8000"/>
    <x v="0"/>
    <x v="1"/>
    <x v="3"/>
  </r>
  <r>
    <x v="140"/>
    <n v="45"/>
    <x v="1"/>
    <x v="7"/>
    <x v="7"/>
    <x v="135"/>
    <x v="132"/>
    <x v="7"/>
    <x v="0"/>
    <n v="15"/>
    <x v="0"/>
    <s v="Recovered"/>
    <x v="0"/>
    <x v="0"/>
    <n v="3000"/>
    <x v="0"/>
    <x v="2"/>
    <x v="0"/>
  </r>
  <r>
    <x v="141"/>
    <n v="75"/>
    <x v="0"/>
    <x v="8"/>
    <x v="8"/>
    <x v="29"/>
    <x v="133"/>
    <x v="0"/>
    <x v="1"/>
    <n v="17"/>
    <x v="1"/>
    <s v="Stable"/>
    <x v="3"/>
    <x v="1"/>
    <n v="18000"/>
    <x v="2"/>
    <x v="2"/>
    <x v="1"/>
  </r>
  <r>
    <x v="142"/>
    <n v="28"/>
    <x v="1"/>
    <x v="9"/>
    <x v="9"/>
    <x v="136"/>
    <x v="134"/>
    <x v="0"/>
    <x v="1"/>
    <n v="10"/>
    <x v="0"/>
    <s v="Recovered"/>
    <x v="2"/>
    <x v="1"/>
    <n v="100"/>
    <x v="1"/>
    <x v="1"/>
    <x v="1"/>
  </r>
  <r>
    <x v="143"/>
    <n v="52"/>
    <x v="0"/>
    <x v="10"/>
    <x v="10"/>
    <x v="137"/>
    <x v="135"/>
    <x v="8"/>
    <x v="2"/>
    <n v="11"/>
    <x v="0"/>
    <s v="Stable"/>
    <x v="0"/>
    <x v="1"/>
    <n v="800"/>
    <x v="0"/>
    <x v="1"/>
    <x v="2"/>
  </r>
  <r>
    <x v="144"/>
    <n v="67"/>
    <x v="1"/>
    <x v="11"/>
    <x v="11"/>
    <x v="138"/>
    <x v="136"/>
    <x v="8"/>
    <x v="2"/>
    <n v="18"/>
    <x v="0"/>
    <s v="Recovered"/>
    <x v="1"/>
    <x v="1"/>
    <n v="20000"/>
    <x v="2"/>
    <x v="2"/>
    <x v="2"/>
  </r>
  <r>
    <x v="145"/>
    <n v="35"/>
    <x v="0"/>
    <x v="12"/>
    <x v="12"/>
    <x v="139"/>
    <x v="137"/>
    <x v="27"/>
    <x v="2"/>
    <n v="12"/>
    <x v="0"/>
    <s v="Recovered"/>
    <x v="0"/>
    <x v="1"/>
    <n v="12000"/>
    <x v="1"/>
    <x v="1"/>
    <x v="2"/>
  </r>
  <r>
    <x v="146"/>
    <n v="50"/>
    <x v="1"/>
    <x v="13"/>
    <x v="13"/>
    <x v="140"/>
    <x v="138"/>
    <x v="18"/>
    <x v="3"/>
    <n v="13"/>
    <x v="0"/>
    <s v="Recovered"/>
    <x v="1"/>
    <x v="1"/>
    <n v="6000"/>
    <x v="0"/>
    <x v="1"/>
    <x v="3"/>
  </r>
  <r>
    <x v="147"/>
    <n v="60"/>
    <x v="0"/>
    <x v="14"/>
    <x v="14"/>
    <x v="141"/>
    <x v="139"/>
    <x v="10"/>
    <x v="1"/>
    <n v="14"/>
    <x v="0"/>
    <s v="Stable"/>
    <x v="0"/>
    <x v="1"/>
    <n v="4000"/>
    <x v="0"/>
    <x v="1"/>
    <x v="1"/>
  </r>
  <r>
    <x v="148"/>
    <n v="48"/>
    <x v="0"/>
    <x v="0"/>
    <x v="0"/>
    <x v="142"/>
    <x v="140"/>
    <x v="22"/>
    <x v="2"/>
    <n v="15"/>
    <x v="1"/>
    <s v="Recovered"/>
    <x v="0"/>
    <x v="1"/>
    <n v="15000"/>
    <x v="0"/>
    <x v="2"/>
    <x v="2"/>
  </r>
  <r>
    <x v="149"/>
    <n v="65"/>
    <x v="1"/>
    <x v="1"/>
    <x v="1"/>
    <x v="143"/>
    <x v="141"/>
    <x v="20"/>
    <x v="0"/>
    <n v="13"/>
    <x v="0"/>
    <s v="Stable"/>
    <x v="1"/>
    <x v="1"/>
    <n v="2000"/>
    <x v="2"/>
    <x v="1"/>
    <x v="0"/>
  </r>
  <r>
    <x v="150"/>
    <n v="30"/>
    <x v="0"/>
    <x v="2"/>
    <x v="2"/>
    <x v="144"/>
    <x v="142"/>
    <x v="19"/>
    <x v="1"/>
    <n v="11"/>
    <x v="0"/>
    <s v="Recovered"/>
    <x v="2"/>
    <x v="1"/>
    <n v="500"/>
    <x v="1"/>
    <x v="1"/>
    <x v="1"/>
  </r>
  <r>
    <x v="151"/>
    <n v="70"/>
    <x v="1"/>
    <x v="3"/>
    <x v="3"/>
    <x v="145"/>
    <x v="142"/>
    <x v="12"/>
    <x v="1"/>
    <n v="17"/>
    <x v="1"/>
    <s v="Stable"/>
    <x v="3"/>
    <x v="1"/>
    <n v="10000"/>
    <x v="2"/>
    <x v="2"/>
    <x v="1"/>
  </r>
  <r>
    <x v="152"/>
    <n v="55"/>
    <x v="0"/>
    <x v="4"/>
    <x v="4"/>
    <x v="146"/>
    <x v="143"/>
    <x v="11"/>
    <x v="1"/>
    <n v="20"/>
    <x v="0"/>
    <s v="Recovered"/>
    <x v="0"/>
    <x v="1"/>
    <n v="25000"/>
    <x v="0"/>
    <x v="2"/>
    <x v="1"/>
  </r>
  <r>
    <x v="153"/>
    <n v="68"/>
    <x v="1"/>
    <x v="5"/>
    <x v="5"/>
    <x v="147"/>
    <x v="144"/>
    <x v="1"/>
    <x v="2"/>
    <n v="12"/>
    <x v="0"/>
    <s v="Stable"/>
    <x v="0"/>
    <x v="0"/>
    <n v="1000"/>
    <x v="2"/>
    <x v="1"/>
    <x v="2"/>
  </r>
  <r>
    <x v="154"/>
    <n v="45"/>
    <x v="0"/>
    <x v="6"/>
    <x v="6"/>
    <x v="148"/>
    <x v="145"/>
    <x v="21"/>
    <x v="1"/>
    <n v="14"/>
    <x v="0"/>
    <s v="Recovered"/>
    <x v="1"/>
    <x v="1"/>
    <n v="8000"/>
    <x v="0"/>
    <x v="1"/>
    <x v="1"/>
  </r>
  <r>
    <x v="155"/>
    <n v="40"/>
    <x v="1"/>
    <x v="7"/>
    <x v="7"/>
    <x v="149"/>
    <x v="146"/>
    <x v="19"/>
    <x v="2"/>
    <n v="16"/>
    <x v="0"/>
    <s v="Recovered"/>
    <x v="0"/>
    <x v="1"/>
    <n v="3000"/>
    <x v="0"/>
    <x v="2"/>
    <x v="2"/>
  </r>
  <r>
    <x v="156"/>
    <n v="78"/>
    <x v="0"/>
    <x v="8"/>
    <x v="8"/>
    <x v="150"/>
    <x v="147"/>
    <x v="14"/>
    <x v="0"/>
    <n v="18"/>
    <x v="1"/>
    <s v="Stable"/>
    <x v="3"/>
    <x v="1"/>
    <n v="18000"/>
    <x v="2"/>
    <x v="2"/>
    <x v="0"/>
  </r>
  <r>
    <x v="157"/>
    <n v="25"/>
    <x v="1"/>
    <x v="9"/>
    <x v="9"/>
    <x v="151"/>
    <x v="148"/>
    <x v="23"/>
    <x v="3"/>
    <n v="11"/>
    <x v="0"/>
    <s v="Recovered"/>
    <x v="2"/>
    <x v="1"/>
    <n v="100"/>
    <x v="1"/>
    <x v="1"/>
    <x v="3"/>
  </r>
  <r>
    <x v="158"/>
    <n v="52"/>
    <x v="0"/>
    <x v="10"/>
    <x v="10"/>
    <x v="152"/>
    <x v="17"/>
    <x v="15"/>
    <x v="2"/>
    <n v="12"/>
    <x v="0"/>
    <s v="Stable"/>
    <x v="0"/>
    <x v="1"/>
    <n v="800"/>
    <x v="0"/>
    <x v="1"/>
    <x v="2"/>
  </r>
  <r>
    <x v="159"/>
    <n v="58"/>
    <x v="1"/>
    <x v="11"/>
    <x v="11"/>
    <x v="153"/>
    <x v="149"/>
    <x v="8"/>
    <x v="1"/>
    <n v="19"/>
    <x v="0"/>
    <s v="Recovered"/>
    <x v="1"/>
    <x v="1"/>
    <n v="20000"/>
    <x v="0"/>
    <x v="2"/>
    <x v="1"/>
  </r>
  <r>
    <x v="160"/>
    <n v="32"/>
    <x v="0"/>
    <x v="12"/>
    <x v="12"/>
    <x v="154"/>
    <x v="150"/>
    <x v="23"/>
    <x v="2"/>
    <n v="13"/>
    <x v="0"/>
    <s v="Recovered"/>
    <x v="0"/>
    <x v="1"/>
    <n v="12000"/>
    <x v="1"/>
    <x v="1"/>
    <x v="2"/>
  </r>
  <r>
    <x v="161"/>
    <n v="55"/>
    <x v="1"/>
    <x v="13"/>
    <x v="13"/>
    <x v="155"/>
    <x v="151"/>
    <x v="8"/>
    <x v="1"/>
    <n v="14"/>
    <x v="0"/>
    <s v="Recovered"/>
    <x v="1"/>
    <x v="1"/>
    <n v="6000"/>
    <x v="0"/>
    <x v="1"/>
    <x v="1"/>
  </r>
  <r>
    <x v="162"/>
    <n v="65"/>
    <x v="0"/>
    <x v="14"/>
    <x v="14"/>
    <x v="156"/>
    <x v="152"/>
    <x v="10"/>
    <x v="2"/>
    <n v="15"/>
    <x v="0"/>
    <s v="Stable"/>
    <x v="0"/>
    <x v="1"/>
    <n v="4000"/>
    <x v="2"/>
    <x v="2"/>
    <x v="2"/>
  </r>
  <r>
    <x v="163"/>
    <n v="55"/>
    <x v="0"/>
    <x v="0"/>
    <x v="0"/>
    <x v="157"/>
    <x v="153"/>
    <x v="0"/>
    <x v="0"/>
    <n v="16"/>
    <x v="1"/>
    <s v="Recovered"/>
    <x v="1"/>
    <x v="1"/>
    <n v="15000"/>
    <x v="0"/>
    <x v="2"/>
    <x v="2"/>
  </r>
  <r>
    <x v="164"/>
    <n v="62"/>
    <x v="1"/>
    <x v="1"/>
    <x v="1"/>
    <x v="158"/>
    <x v="154"/>
    <x v="10"/>
    <x v="0"/>
    <n v="14"/>
    <x v="0"/>
    <s v="Stable"/>
    <x v="0"/>
    <x v="0"/>
    <n v="2000"/>
    <x v="2"/>
    <x v="1"/>
    <x v="0"/>
  </r>
  <r>
    <x v="165"/>
    <n v="35"/>
    <x v="0"/>
    <x v="2"/>
    <x v="2"/>
    <x v="159"/>
    <x v="155"/>
    <x v="19"/>
    <x v="0"/>
    <n v="12"/>
    <x v="1"/>
    <s v="Recovered"/>
    <x v="2"/>
    <x v="1"/>
    <n v="500"/>
    <x v="1"/>
    <x v="1"/>
    <x v="0"/>
  </r>
  <r>
    <x v="166"/>
    <n v="78"/>
    <x v="1"/>
    <x v="3"/>
    <x v="3"/>
    <x v="160"/>
    <x v="156"/>
    <x v="12"/>
    <x v="3"/>
    <n v="18"/>
    <x v="0"/>
    <s v="Stable"/>
    <x v="3"/>
    <x v="1"/>
    <n v="10000"/>
    <x v="2"/>
    <x v="2"/>
    <x v="3"/>
  </r>
  <r>
    <x v="167"/>
    <n v="53"/>
    <x v="0"/>
    <x v="4"/>
    <x v="4"/>
    <x v="161"/>
    <x v="157"/>
    <x v="11"/>
    <x v="1"/>
    <n v="21"/>
    <x v="1"/>
    <s v="Recovered"/>
    <x v="0"/>
    <x v="0"/>
    <n v="25000"/>
    <x v="0"/>
    <x v="2"/>
    <x v="1"/>
  </r>
  <r>
    <x v="168"/>
    <n v="72"/>
    <x v="1"/>
    <x v="5"/>
    <x v="5"/>
    <x v="162"/>
    <x v="158"/>
    <x v="0"/>
    <x v="1"/>
    <n v="13"/>
    <x v="0"/>
    <s v="Stable"/>
    <x v="0"/>
    <x v="1"/>
    <n v="1000"/>
    <x v="2"/>
    <x v="1"/>
    <x v="1"/>
  </r>
  <r>
    <x v="169"/>
    <n v="60"/>
    <x v="0"/>
    <x v="6"/>
    <x v="6"/>
    <x v="163"/>
    <x v="159"/>
    <x v="0"/>
    <x v="2"/>
    <n v="15"/>
    <x v="1"/>
    <s v="Recovered"/>
    <x v="1"/>
    <x v="1"/>
    <n v="8000"/>
    <x v="0"/>
    <x v="2"/>
    <x v="2"/>
  </r>
  <r>
    <x v="170"/>
    <n v="45"/>
    <x v="1"/>
    <x v="7"/>
    <x v="7"/>
    <x v="164"/>
    <x v="160"/>
    <x v="19"/>
    <x v="3"/>
    <n v="17"/>
    <x v="0"/>
    <s v="Recovered"/>
    <x v="0"/>
    <x v="1"/>
    <n v="3000"/>
    <x v="0"/>
    <x v="2"/>
    <x v="3"/>
  </r>
  <r>
    <x v="171"/>
    <n v="75"/>
    <x v="0"/>
    <x v="8"/>
    <x v="8"/>
    <x v="165"/>
    <x v="161"/>
    <x v="18"/>
    <x v="3"/>
    <n v="19"/>
    <x v="1"/>
    <s v="Stable"/>
    <x v="3"/>
    <x v="1"/>
    <n v="18000"/>
    <x v="2"/>
    <x v="2"/>
    <x v="3"/>
  </r>
  <r>
    <x v="172"/>
    <n v="28"/>
    <x v="1"/>
    <x v="9"/>
    <x v="9"/>
    <x v="142"/>
    <x v="162"/>
    <x v="23"/>
    <x v="2"/>
    <n v="12"/>
    <x v="0"/>
    <s v="Recovered"/>
    <x v="2"/>
    <x v="1"/>
    <n v="100"/>
    <x v="1"/>
    <x v="1"/>
    <x v="2"/>
  </r>
  <r>
    <x v="173"/>
    <n v="52"/>
    <x v="0"/>
    <x v="10"/>
    <x v="10"/>
    <x v="166"/>
    <x v="23"/>
    <x v="13"/>
    <x v="0"/>
    <n v="13"/>
    <x v="0"/>
    <s v="Stable"/>
    <x v="0"/>
    <x v="0"/>
    <n v="800"/>
    <x v="0"/>
    <x v="1"/>
    <x v="0"/>
  </r>
  <r>
    <x v="174"/>
    <n v="67"/>
    <x v="1"/>
    <x v="11"/>
    <x v="11"/>
    <x v="167"/>
    <x v="163"/>
    <x v="16"/>
    <x v="1"/>
    <n v="20"/>
    <x v="0"/>
    <s v="Recovered"/>
    <x v="1"/>
    <x v="1"/>
    <n v="20000"/>
    <x v="2"/>
    <x v="2"/>
    <x v="1"/>
  </r>
  <r>
    <x v="175"/>
    <n v="35"/>
    <x v="0"/>
    <x v="12"/>
    <x v="12"/>
    <x v="168"/>
    <x v="164"/>
    <x v="9"/>
    <x v="1"/>
    <n v="14"/>
    <x v="0"/>
    <s v="Recovered"/>
    <x v="0"/>
    <x v="0"/>
    <n v="12000"/>
    <x v="1"/>
    <x v="1"/>
    <x v="1"/>
  </r>
  <r>
    <x v="176"/>
    <n v="50"/>
    <x v="1"/>
    <x v="13"/>
    <x v="13"/>
    <x v="169"/>
    <x v="165"/>
    <x v="7"/>
    <x v="0"/>
    <n v="15"/>
    <x v="0"/>
    <s v="Recovered"/>
    <x v="1"/>
    <x v="1"/>
    <n v="6000"/>
    <x v="0"/>
    <x v="2"/>
    <x v="0"/>
  </r>
  <r>
    <x v="177"/>
    <n v="60"/>
    <x v="0"/>
    <x v="14"/>
    <x v="14"/>
    <x v="170"/>
    <x v="166"/>
    <x v="24"/>
    <x v="3"/>
    <n v="16"/>
    <x v="0"/>
    <s v="Stable"/>
    <x v="0"/>
    <x v="1"/>
    <n v="4000"/>
    <x v="0"/>
    <x v="2"/>
    <x v="3"/>
  </r>
  <r>
    <x v="178"/>
    <n v="48"/>
    <x v="0"/>
    <x v="0"/>
    <x v="0"/>
    <x v="171"/>
    <x v="167"/>
    <x v="0"/>
    <x v="0"/>
    <n v="17"/>
    <x v="1"/>
    <s v="Recovered"/>
    <x v="0"/>
    <x v="0"/>
    <n v="15000"/>
    <x v="0"/>
    <x v="2"/>
    <x v="0"/>
  </r>
  <r>
    <x v="179"/>
    <n v="30"/>
    <x v="0"/>
    <x v="2"/>
    <x v="2"/>
    <x v="159"/>
    <x v="168"/>
    <x v="19"/>
    <x v="0"/>
    <n v="13"/>
    <x v="0"/>
    <s v="Recovered"/>
    <x v="2"/>
    <x v="1"/>
    <n v="500"/>
    <x v="1"/>
    <x v="1"/>
    <x v="0"/>
  </r>
  <r>
    <x v="180"/>
    <n v="70"/>
    <x v="1"/>
    <x v="3"/>
    <x v="3"/>
    <x v="83"/>
    <x v="169"/>
    <x v="12"/>
    <x v="1"/>
    <n v="19"/>
    <x v="1"/>
    <s v="Stable"/>
    <x v="3"/>
    <x v="1"/>
    <n v="10000"/>
    <x v="2"/>
    <x v="2"/>
    <x v="1"/>
  </r>
  <r>
    <x v="181"/>
    <n v="55"/>
    <x v="0"/>
    <x v="4"/>
    <x v="4"/>
    <x v="172"/>
    <x v="170"/>
    <x v="4"/>
    <x v="1"/>
    <n v="22"/>
    <x v="0"/>
    <s v="Recovered"/>
    <x v="0"/>
    <x v="1"/>
    <n v="25000"/>
    <x v="0"/>
    <x v="2"/>
    <x v="1"/>
  </r>
  <r>
    <x v="182"/>
    <n v="68"/>
    <x v="1"/>
    <x v="5"/>
    <x v="5"/>
    <x v="173"/>
    <x v="171"/>
    <x v="0"/>
    <x v="3"/>
    <n v="14"/>
    <x v="0"/>
    <s v="Stable"/>
    <x v="0"/>
    <x v="1"/>
    <n v="1000"/>
    <x v="2"/>
    <x v="1"/>
    <x v="3"/>
  </r>
  <r>
    <x v="183"/>
    <n v="45"/>
    <x v="0"/>
    <x v="6"/>
    <x v="6"/>
    <x v="174"/>
    <x v="172"/>
    <x v="6"/>
    <x v="1"/>
    <n v="16"/>
    <x v="0"/>
    <s v="Recovered"/>
    <x v="1"/>
    <x v="1"/>
    <n v="8000"/>
    <x v="0"/>
    <x v="2"/>
    <x v="1"/>
  </r>
  <r>
    <x v="184"/>
    <n v="40"/>
    <x v="1"/>
    <x v="7"/>
    <x v="7"/>
    <x v="175"/>
    <x v="173"/>
    <x v="7"/>
    <x v="0"/>
    <n v="18"/>
    <x v="0"/>
    <s v="Recovered"/>
    <x v="0"/>
    <x v="0"/>
    <n v="3000"/>
    <x v="0"/>
    <x v="2"/>
    <x v="0"/>
  </r>
  <r>
    <x v="185"/>
    <n v="78"/>
    <x v="0"/>
    <x v="8"/>
    <x v="8"/>
    <x v="176"/>
    <x v="174"/>
    <x v="0"/>
    <x v="0"/>
    <n v="20"/>
    <x v="1"/>
    <s v="Stable"/>
    <x v="3"/>
    <x v="0"/>
    <n v="18000"/>
    <x v="2"/>
    <x v="2"/>
    <x v="0"/>
  </r>
  <r>
    <x v="186"/>
    <n v="25"/>
    <x v="1"/>
    <x v="9"/>
    <x v="9"/>
    <x v="177"/>
    <x v="175"/>
    <x v="22"/>
    <x v="2"/>
    <n v="13"/>
    <x v="0"/>
    <s v="Recovered"/>
    <x v="2"/>
    <x v="0"/>
    <n v="100"/>
    <x v="1"/>
    <x v="1"/>
    <x v="2"/>
  </r>
  <r>
    <x v="187"/>
    <n v="52"/>
    <x v="0"/>
    <x v="10"/>
    <x v="10"/>
    <x v="178"/>
    <x v="176"/>
    <x v="15"/>
    <x v="3"/>
    <n v="14"/>
    <x v="0"/>
    <s v="Stable"/>
    <x v="0"/>
    <x v="0"/>
    <n v="800"/>
    <x v="0"/>
    <x v="1"/>
    <x v="3"/>
  </r>
  <r>
    <x v="188"/>
    <n v="58"/>
    <x v="1"/>
    <x v="11"/>
    <x v="11"/>
    <x v="179"/>
    <x v="177"/>
    <x v="8"/>
    <x v="1"/>
    <n v="21"/>
    <x v="0"/>
    <s v="Recovered"/>
    <x v="1"/>
    <x v="0"/>
    <n v="20000"/>
    <x v="0"/>
    <x v="2"/>
    <x v="1"/>
  </r>
  <r>
    <x v="189"/>
    <n v="32"/>
    <x v="0"/>
    <x v="12"/>
    <x v="12"/>
    <x v="154"/>
    <x v="136"/>
    <x v="9"/>
    <x v="2"/>
    <n v="15"/>
    <x v="0"/>
    <s v="Recovered"/>
    <x v="0"/>
    <x v="1"/>
    <n v="12000"/>
    <x v="1"/>
    <x v="2"/>
    <x v="2"/>
  </r>
  <r>
    <x v="190"/>
    <n v="55"/>
    <x v="1"/>
    <x v="13"/>
    <x v="13"/>
    <x v="180"/>
    <x v="178"/>
    <x v="8"/>
    <x v="0"/>
    <n v="16"/>
    <x v="0"/>
    <s v="Recovered"/>
    <x v="1"/>
    <x v="0"/>
    <n v="6000"/>
    <x v="0"/>
    <x v="2"/>
    <x v="0"/>
  </r>
  <r>
    <x v="191"/>
    <n v="65"/>
    <x v="0"/>
    <x v="14"/>
    <x v="14"/>
    <x v="39"/>
    <x v="147"/>
    <x v="10"/>
    <x v="0"/>
    <n v="17"/>
    <x v="0"/>
    <s v="Stable"/>
    <x v="0"/>
    <x v="1"/>
    <n v="4000"/>
    <x v="2"/>
    <x v="2"/>
    <x v="0"/>
  </r>
  <r>
    <x v="192"/>
    <n v="55"/>
    <x v="0"/>
    <x v="0"/>
    <x v="0"/>
    <x v="181"/>
    <x v="179"/>
    <x v="22"/>
    <x v="0"/>
    <n v="18"/>
    <x v="1"/>
    <s v="Recovered"/>
    <x v="1"/>
    <x v="0"/>
    <n v="15000"/>
    <x v="0"/>
    <x v="2"/>
    <x v="0"/>
  </r>
  <r>
    <x v="193"/>
    <n v="62"/>
    <x v="1"/>
    <x v="1"/>
    <x v="1"/>
    <x v="182"/>
    <x v="180"/>
    <x v="1"/>
    <x v="0"/>
    <n v="16"/>
    <x v="0"/>
    <s v="Stable"/>
    <x v="0"/>
    <x v="0"/>
    <n v="2000"/>
    <x v="2"/>
    <x v="2"/>
    <x v="0"/>
  </r>
  <r>
    <x v="194"/>
    <n v="35"/>
    <x v="0"/>
    <x v="2"/>
    <x v="2"/>
    <x v="183"/>
    <x v="181"/>
    <x v="2"/>
    <x v="0"/>
    <n v="14"/>
    <x v="1"/>
    <s v="Recovered"/>
    <x v="2"/>
    <x v="0"/>
    <n v="500"/>
    <x v="1"/>
    <x v="1"/>
    <x v="0"/>
  </r>
  <r>
    <x v="195"/>
    <n v="78"/>
    <x v="1"/>
    <x v="3"/>
    <x v="3"/>
    <x v="184"/>
    <x v="182"/>
    <x v="12"/>
    <x v="2"/>
    <n v="20"/>
    <x v="0"/>
    <s v="Stable"/>
    <x v="3"/>
    <x v="0"/>
    <n v="10000"/>
    <x v="2"/>
    <x v="2"/>
    <x v="2"/>
  </r>
  <r>
    <x v="196"/>
    <n v="53"/>
    <x v="0"/>
    <x v="4"/>
    <x v="4"/>
    <x v="185"/>
    <x v="183"/>
    <x v="4"/>
    <x v="1"/>
    <n v="23"/>
    <x v="1"/>
    <s v="Recovered"/>
    <x v="0"/>
    <x v="1"/>
    <n v="25000"/>
    <x v="0"/>
    <x v="2"/>
    <x v="1"/>
  </r>
  <r>
    <x v="197"/>
    <n v="72"/>
    <x v="1"/>
    <x v="5"/>
    <x v="5"/>
    <x v="86"/>
    <x v="184"/>
    <x v="18"/>
    <x v="0"/>
    <n v="15"/>
    <x v="0"/>
    <s v="Stable"/>
    <x v="0"/>
    <x v="1"/>
    <n v="1000"/>
    <x v="2"/>
    <x v="2"/>
    <x v="0"/>
  </r>
  <r>
    <x v="198"/>
    <n v="60"/>
    <x v="0"/>
    <x v="6"/>
    <x v="6"/>
    <x v="131"/>
    <x v="185"/>
    <x v="22"/>
    <x v="0"/>
    <n v="17"/>
    <x v="1"/>
    <s v="Recovered"/>
    <x v="1"/>
    <x v="1"/>
    <n v="8000"/>
    <x v="0"/>
    <x v="2"/>
    <x v="0"/>
  </r>
  <r>
    <x v="199"/>
    <n v="45"/>
    <x v="1"/>
    <x v="7"/>
    <x v="7"/>
    <x v="186"/>
    <x v="186"/>
    <x v="20"/>
    <x v="2"/>
    <n v="19"/>
    <x v="0"/>
    <s v="Recovered"/>
    <x v="0"/>
    <x v="1"/>
    <n v="3000"/>
    <x v="0"/>
    <x v="2"/>
    <x v="2"/>
  </r>
  <r>
    <x v="200"/>
    <n v="75"/>
    <x v="0"/>
    <x v="8"/>
    <x v="8"/>
    <x v="187"/>
    <x v="124"/>
    <x v="0"/>
    <x v="1"/>
    <n v="21"/>
    <x v="1"/>
    <s v="Stable"/>
    <x v="3"/>
    <x v="1"/>
    <n v="18000"/>
    <x v="2"/>
    <x v="2"/>
    <x v="1"/>
  </r>
  <r>
    <x v="201"/>
    <n v="28"/>
    <x v="1"/>
    <x v="9"/>
    <x v="9"/>
    <x v="188"/>
    <x v="187"/>
    <x v="23"/>
    <x v="3"/>
    <n v="14"/>
    <x v="0"/>
    <s v="Recovered"/>
    <x v="2"/>
    <x v="1"/>
    <n v="100"/>
    <x v="1"/>
    <x v="1"/>
    <x v="3"/>
  </r>
  <r>
    <x v="202"/>
    <n v="52"/>
    <x v="0"/>
    <x v="10"/>
    <x v="10"/>
    <x v="189"/>
    <x v="188"/>
    <x v="8"/>
    <x v="1"/>
    <n v="15"/>
    <x v="0"/>
    <s v="Stable"/>
    <x v="0"/>
    <x v="1"/>
    <n v="800"/>
    <x v="0"/>
    <x v="2"/>
    <x v="1"/>
  </r>
  <r>
    <x v="203"/>
    <n v="67"/>
    <x v="1"/>
    <x v="11"/>
    <x v="11"/>
    <x v="131"/>
    <x v="189"/>
    <x v="6"/>
    <x v="0"/>
    <n v="22"/>
    <x v="0"/>
    <s v="Recovered"/>
    <x v="1"/>
    <x v="1"/>
    <n v="20000"/>
    <x v="2"/>
    <x v="2"/>
    <x v="0"/>
  </r>
  <r>
    <x v="204"/>
    <n v="35"/>
    <x v="0"/>
    <x v="12"/>
    <x v="12"/>
    <x v="190"/>
    <x v="190"/>
    <x v="9"/>
    <x v="1"/>
    <n v="16"/>
    <x v="0"/>
    <s v="Recovered"/>
    <x v="0"/>
    <x v="0"/>
    <n v="12000"/>
    <x v="1"/>
    <x v="2"/>
    <x v="1"/>
  </r>
  <r>
    <x v="205"/>
    <n v="50"/>
    <x v="1"/>
    <x v="13"/>
    <x v="13"/>
    <x v="191"/>
    <x v="54"/>
    <x v="7"/>
    <x v="2"/>
    <n v="17"/>
    <x v="0"/>
    <s v="Recovered"/>
    <x v="1"/>
    <x v="1"/>
    <n v="6000"/>
    <x v="0"/>
    <x v="2"/>
    <x v="2"/>
  </r>
  <r>
    <x v="206"/>
    <n v="60"/>
    <x v="0"/>
    <x v="14"/>
    <x v="14"/>
    <x v="192"/>
    <x v="191"/>
    <x v="24"/>
    <x v="0"/>
    <n v="18"/>
    <x v="0"/>
    <s v="Stable"/>
    <x v="0"/>
    <x v="0"/>
    <n v="4000"/>
    <x v="0"/>
    <x v="2"/>
    <x v="0"/>
  </r>
  <r>
    <x v="207"/>
    <n v="48"/>
    <x v="0"/>
    <x v="0"/>
    <x v="0"/>
    <x v="193"/>
    <x v="192"/>
    <x v="0"/>
    <x v="0"/>
    <n v="19"/>
    <x v="1"/>
    <s v="Recovered"/>
    <x v="0"/>
    <x v="0"/>
    <n v="15000"/>
    <x v="0"/>
    <x v="2"/>
    <x v="0"/>
  </r>
  <r>
    <x v="208"/>
    <n v="65"/>
    <x v="1"/>
    <x v="1"/>
    <x v="1"/>
    <x v="194"/>
    <x v="193"/>
    <x v="20"/>
    <x v="3"/>
    <n v="17"/>
    <x v="0"/>
    <s v="Stable"/>
    <x v="1"/>
    <x v="1"/>
    <n v="2000"/>
    <x v="2"/>
    <x v="2"/>
    <x v="3"/>
  </r>
  <r>
    <x v="209"/>
    <n v="30"/>
    <x v="0"/>
    <x v="2"/>
    <x v="2"/>
    <x v="195"/>
    <x v="194"/>
    <x v="2"/>
    <x v="1"/>
    <n v="15"/>
    <x v="0"/>
    <s v="Recovered"/>
    <x v="2"/>
    <x v="0"/>
    <n v="500"/>
    <x v="1"/>
    <x v="2"/>
    <x v="1"/>
  </r>
  <r>
    <x v="210"/>
    <n v="70"/>
    <x v="1"/>
    <x v="3"/>
    <x v="3"/>
    <x v="196"/>
    <x v="195"/>
    <x v="12"/>
    <x v="2"/>
    <n v="21"/>
    <x v="1"/>
    <s v="Stable"/>
    <x v="3"/>
    <x v="0"/>
    <n v="10000"/>
    <x v="2"/>
    <x v="2"/>
    <x v="4"/>
  </r>
  <r>
    <x v="211"/>
    <n v="55"/>
    <x v="0"/>
    <x v="4"/>
    <x v="4"/>
    <x v="197"/>
    <x v="196"/>
    <x v="13"/>
    <x v="1"/>
    <n v="24"/>
    <x v="0"/>
    <s v="Recovered"/>
    <x v="0"/>
    <x v="1"/>
    <n v="25000"/>
    <x v="0"/>
    <x v="2"/>
    <x v="1"/>
  </r>
  <r>
    <x v="212"/>
    <n v="68"/>
    <x v="1"/>
    <x v="5"/>
    <x v="5"/>
    <x v="198"/>
    <x v="197"/>
    <x v="5"/>
    <x v="0"/>
    <n v="16"/>
    <x v="0"/>
    <s v="Stable"/>
    <x v="0"/>
    <x v="0"/>
    <n v="1000"/>
    <x v="2"/>
    <x v="2"/>
    <x v="0"/>
  </r>
  <r>
    <x v="213"/>
    <n v="45"/>
    <x v="0"/>
    <x v="6"/>
    <x v="6"/>
    <x v="199"/>
    <x v="198"/>
    <x v="22"/>
    <x v="3"/>
    <n v="18"/>
    <x v="0"/>
    <s v="Recovered"/>
    <x v="1"/>
    <x v="1"/>
    <n v="8000"/>
    <x v="0"/>
    <x v="2"/>
    <x v="3"/>
  </r>
  <r>
    <x v="214"/>
    <n v="40"/>
    <x v="1"/>
    <x v="7"/>
    <x v="7"/>
    <x v="200"/>
    <x v="199"/>
    <x v="7"/>
    <x v="0"/>
    <n v="20"/>
    <x v="0"/>
    <s v="Recovered"/>
    <x v="0"/>
    <x v="1"/>
    <n v="3000"/>
    <x v="0"/>
    <x v="2"/>
    <x v="0"/>
  </r>
  <r>
    <x v="215"/>
    <n v="78"/>
    <x v="0"/>
    <x v="8"/>
    <x v="8"/>
    <x v="201"/>
    <x v="200"/>
    <x v="0"/>
    <x v="0"/>
    <n v="22"/>
    <x v="1"/>
    <s v="Stable"/>
    <x v="3"/>
    <x v="1"/>
    <n v="18000"/>
    <x v="2"/>
    <x v="2"/>
    <x v="0"/>
  </r>
  <r>
    <x v="216"/>
    <n v="25"/>
    <x v="1"/>
    <x v="9"/>
    <x v="9"/>
    <x v="32"/>
    <x v="15"/>
    <x v="23"/>
    <x v="3"/>
    <n v="15"/>
    <x v="0"/>
    <s v="Recovered"/>
    <x v="2"/>
    <x v="1"/>
    <n v="100"/>
    <x v="1"/>
    <x v="2"/>
    <x v="3"/>
  </r>
  <r>
    <x v="217"/>
    <n v="52"/>
    <x v="0"/>
    <x v="10"/>
    <x v="10"/>
    <x v="202"/>
    <x v="201"/>
    <x v="8"/>
    <x v="2"/>
    <n v="16"/>
    <x v="0"/>
    <s v="Stable"/>
    <x v="0"/>
    <x v="1"/>
    <n v="800"/>
    <x v="0"/>
    <x v="2"/>
    <x v="2"/>
  </r>
  <r>
    <x v="218"/>
    <n v="58"/>
    <x v="1"/>
    <x v="11"/>
    <x v="11"/>
    <x v="203"/>
    <x v="202"/>
    <x v="16"/>
    <x v="3"/>
    <n v="23"/>
    <x v="0"/>
    <s v="Recovered"/>
    <x v="1"/>
    <x v="1"/>
    <n v="20000"/>
    <x v="0"/>
    <x v="2"/>
    <x v="3"/>
  </r>
  <r>
    <x v="219"/>
    <n v="32"/>
    <x v="0"/>
    <x v="12"/>
    <x v="12"/>
    <x v="204"/>
    <x v="203"/>
    <x v="9"/>
    <x v="0"/>
    <n v="17"/>
    <x v="0"/>
    <s v="Recovered"/>
    <x v="0"/>
    <x v="1"/>
    <n v="12000"/>
    <x v="1"/>
    <x v="2"/>
    <x v="0"/>
  </r>
  <r>
    <x v="220"/>
    <n v="55"/>
    <x v="1"/>
    <x v="13"/>
    <x v="13"/>
    <x v="205"/>
    <x v="204"/>
    <x v="8"/>
    <x v="2"/>
    <n v="18"/>
    <x v="0"/>
    <s v="Recovered"/>
    <x v="1"/>
    <x v="0"/>
    <n v="6000"/>
    <x v="0"/>
    <x v="2"/>
    <x v="2"/>
  </r>
  <r>
    <x v="221"/>
    <n v="65"/>
    <x v="0"/>
    <x v="14"/>
    <x v="14"/>
    <x v="206"/>
    <x v="205"/>
    <x v="10"/>
    <x v="1"/>
    <n v="19"/>
    <x v="0"/>
    <s v="Stable"/>
    <x v="0"/>
    <x v="1"/>
    <n v="4000"/>
    <x v="2"/>
    <x v="2"/>
    <x v="1"/>
  </r>
  <r>
    <x v="222"/>
    <n v="55"/>
    <x v="0"/>
    <x v="0"/>
    <x v="0"/>
    <x v="4"/>
    <x v="206"/>
    <x v="18"/>
    <x v="3"/>
    <n v="20"/>
    <x v="1"/>
    <s v="Recovered"/>
    <x v="1"/>
    <x v="1"/>
    <n v="15000"/>
    <x v="0"/>
    <x v="2"/>
    <x v="3"/>
  </r>
  <r>
    <x v="223"/>
    <n v="62"/>
    <x v="1"/>
    <x v="1"/>
    <x v="1"/>
    <x v="207"/>
    <x v="207"/>
    <x v="10"/>
    <x v="0"/>
    <n v="18"/>
    <x v="0"/>
    <s v="Stable"/>
    <x v="0"/>
    <x v="1"/>
    <n v="2000"/>
    <x v="2"/>
    <x v="2"/>
    <x v="0"/>
  </r>
  <r>
    <x v="224"/>
    <n v="35"/>
    <x v="0"/>
    <x v="2"/>
    <x v="2"/>
    <x v="208"/>
    <x v="208"/>
    <x v="2"/>
    <x v="3"/>
    <n v="16"/>
    <x v="1"/>
    <s v="Recovered"/>
    <x v="2"/>
    <x v="0"/>
    <n v="500"/>
    <x v="1"/>
    <x v="2"/>
    <x v="3"/>
  </r>
  <r>
    <x v="225"/>
    <n v="78"/>
    <x v="1"/>
    <x v="3"/>
    <x v="3"/>
    <x v="209"/>
    <x v="209"/>
    <x v="3"/>
    <x v="0"/>
    <n v="22"/>
    <x v="0"/>
    <s v="Stable"/>
    <x v="3"/>
    <x v="0"/>
    <n v="10000"/>
    <x v="2"/>
    <x v="2"/>
    <x v="0"/>
  </r>
  <r>
    <x v="226"/>
    <n v="53"/>
    <x v="0"/>
    <x v="4"/>
    <x v="4"/>
    <x v="210"/>
    <x v="210"/>
    <x v="18"/>
    <x v="2"/>
    <n v="25"/>
    <x v="1"/>
    <s v="Recovered"/>
    <x v="0"/>
    <x v="1"/>
    <n v="25000"/>
    <x v="0"/>
    <x v="2"/>
    <x v="2"/>
  </r>
  <r>
    <x v="227"/>
    <n v="72"/>
    <x v="1"/>
    <x v="5"/>
    <x v="5"/>
    <x v="211"/>
    <x v="211"/>
    <x v="5"/>
    <x v="1"/>
    <n v="17"/>
    <x v="0"/>
    <s v="Stable"/>
    <x v="0"/>
    <x v="1"/>
    <n v="1000"/>
    <x v="2"/>
    <x v="2"/>
    <x v="1"/>
  </r>
  <r>
    <x v="228"/>
    <n v="60"/>
    <x v="0"/>
    <x v="6"/>
    <x v="6"/>
    <x v="212"/>
    <x v="212"/>
    <x v="22"/>
    <x v="3"/>
    <n v="19"/>
    <x v="1"/>
    <s v="Recovered"/>
    <x v="1"/>
    <x v="1"/>
    <n v="8000"/>
    <x v="0"/>
    <x v="2"/>
    <x v="3"/>
  </r>
  <r>
    <x v="229"/>
    <n v="45"/>
    <x v="1"/>
    <x v="7"/>
    <x v="7"/>
    <x v="44"/>
    <x v="213"/>
    <x v="19"/>
    <x v="2"/>
    <n v="21"/>
    <x v="0"/>
    <s v="Recovered"/>
    <x v="0"/>
    <x v="0"/>
    <n v="3000"/>
    <x v="0"/>
    <x v="2"/>
    <x v="2"/>
  </r>
  <r>
    <x v="230"/>
    <n v="75"/>
    <x v="0"/>
    <x v="8"/>
    <x v="8"/>
    <x v="213"/>
    <x v="47"/>
    <x v="0"/>
    <x v="1"/>
    <n v="23"/>
    <x v="1"/>
    <s v="Stable"/>
    <x v="3"/>
    <x v="1"/>
    <n v="18000"/>
    <x v="2"/>
    <x v="2"/>
    <x v="1"/>
  </r>
  <r>
    <x v="231"/>
    <n v="28"/>
    <x v="1"/>
    <x v="9"/>
    <x v="9"/>
    <x v="214"/>
    <x v="214"/>
    <x v="22"/>
    <x v="0"/>
    <n v="16"/>
    <x v="0"/>
    <s v="Recovered"/>
    <x v="2"/>
    <x v="1"/>
    <n v="100"/>
    <x v="1"/>
    <x v="2"/>
    <x v="0"/>
  </r>
  <r>
    <x v="232"/>
    <n v="52"/>
    <x v="0"/>
    <x v="10"/>
    <x v="10"/>
    <x v="119"/>
    <x v="215"/>
    <x v="13"/>
    <x v="1"/>
    <n v="17"/>
    <x v="0"/>
    <s v="Stable"/>
    <x v="0"/>
    <x v="1"/>
    <n v="800"/>
    <x v="0"/>
    <x v="2"/>
    <x v="1"/>
  </r>
  <r>
    <x v="233"/>
    <n v="67"/>
    <x v="1"/>
    <x v="11"/>
    <x v="11"/>
    <x v="215"/>
    <x v="68"/>
    <x v="0"/>
    <x v="1"/>
    <n v="24"/>
    <x v="0"/>
    <s v="Recovered"/>
    <x v="1"/>
    <x v="1"/>
    <n v="20000"/>
    <x v="2"/>
    <x v="2"/>
    <x v="1"/>
  </r>
  <r>
    <x v="234"/>
    <n v="35"/>
    <x v="0"/>
    <x v="12"/>
    <x v="12"/>
    <x v="216"/>
    <x v="216"/>
    <x v="9"/>
    <x v="1"/>
    <n v="18"/>
    <x v="0"/>
    <s v="Recovered"/>
    <x v="0"/>
    <x v="0"/>
    <n v="12000"/>
    <x v="1"/>
    <x v="2"/>
    <x v="1"/>
  </r>
  <r>
    <x v="235"/>
    <n v="50"/>
    <x v="1"/>
    <x v="13"/>
    <x v="13"/>
    <x v="217"/>
    <x v="217"/>
    <x v="8"/>
    <x v="2"/>
    <n v="19"/>
    <x v="0"/>
    <s v="Recovered"/>
    <x v="1"/>
    <x v="0"/>
    <n v="6000"/>
    <x v="0"/>
    <x v="2"/>
    <x v="2"/>
  </r>
  <r>
    <x v="236"/>
    <n v="60"/>
    <x v="0"/>
    <x v="14"/>
    <x v="14"/>
    <x v="218"/>
    <x v="218"/>
    <x v="22"/>
    <x v="2"/>
    <n v="20"/>
    <x v="0"/>
    <s v="Stable"/>
    <x v="0"/>
    <x v="0"/>
    <n v="4000"/>
    <x v="0"/>
    <x v="2"/>
    <x v="2"/>
  </r>
  <r>
    <x v="237"/>
    <n v="48"/>
    <x v="0"/>
    <x v="0"/>
    <x v="0"/>
    <x v="219"/>
    <x v="219"/>
    <x v="18"/>
    <x v="0"/>
    <n v="21"/>
    <x v="1"/>
    <s v="Recovered"/>
    <x v="0"/>
    <x v="1"/>
    <n v="15000"/>
    <x v="0"/>
    <x v="2"/>
    <x v="0"/>
  </r>
  <r>
    <x v="238"/>
    <n v="65"/>
    <x v="1"/>
    <x v="1"/>
    <x v="1"/>
    <x v="220"/>
    <x v="220"/>
    <x v="22"/>
    <x v="0"/>
    <n v="19"/>
    <x v="0"/>
    <s v="Stable"/>
    <x v="1"/>
    <x v="0"/>
    <n v="2000"/>
    <x v="2"/>
    <x v="2"/>
    <x v="0"/>
  </r>
  <r>
    <x v="239"/>
    <n v="70"/>
    <x v="1"/>
    <x v="3"/>
    <x v="3"/>
    <x v="221"/>
    <x v="221"/>
    <x v="4"/>
    <x v="1"/>
    <n v="23"/>
    <x v="1"/>
    <s v="Stable"/>
    <x v="3"/>
    <x v="1"/>
    <n v="10000"/>
    <x v="2"/>
    <x v="2"/>
    <x v="1"/>
  </r>
  <r>
    <x v="240"/>
    <n v="55"/>
    <x v="0"/>
    <x v="4"/>
    <x v="4"/>
    <x v="222"/>
    <x v="151"/>
    <x v="4"/>
    <x v="1"/>
    <n v="26"/>
    <x v="0"/>
    <s v="Recovered"/>
    <x v="0"/>
    <x v="1"/>
    <n v="25000"/>
    <x v="0"/>
    <x v="2"/>
    <x v="1"/>
  </r>
  <r>
    <x v="241"/>
    <n v="68"/>
    <x v="1"/>
    <x v="5"/>
    <x v="5"/>
    <x v="223"/>
    <x v="222"/>
    <x v="5"/>
    <x v="3"/>
    <n v="18"/>
    <x v="0"/>
    <s v="Stable"/>
    <x v="0"/>
    <x v="0"/>
    <n v="1000"/>
    <x v="2"/>
    <x v="2"/>
    <x v="3"/>
  </r>
  <r>
    <x v="242"/>
    <n v="45"/>
    <x v="0"/>
    <x v="6"/>
    <x v="6"/>
    <x v="224"/>
    <x v="223"/>
    <x v="22"/>
    <x v="3"/>
    <n v="20"/>
    <x v="0"/>
    <s v="Recovered"/>
    <x v="1"/>
    <x v="0"/>
    <n v="8000"/>
    <x v="0"/>
    <x v="2"/>
    <x v="3"/>
  </r>
  <r>
    <x v="243"/>
    <n v="40"/>
    <x v="1"/>
    <x v="7"/>
    <x v="7"/>
    <x v="83"/>
    <x v="224"/>
    <x v="7"/>
    <x v="1"/>
    <n v="22"/>
    <x v="0"/>
    <s v="Recovered"/>
    <x v="0"/>
    <x v="0"/>
    <n v="3000"/>
    <x v="0"/>
    <x v="2"/>
    <x v="1"/>
  </r>
  <r>
    <x v="244"/>
    <n v="78"/>
    <x v="0"/>
    <x v="8"/>
    <x v="8"/>
    <x v="225"/>
    <x v="225"/>
    <x v="14"/>
    <x v="1"/>
    <n v="24"/>
    <x v="1"/>
    <s v="Stable"/>
    <x v="3"/>
    <x v="1"/>
    <n v="18000"/>
    <x v="2"/>
    <x v="2"/>
    <x v="0"/>
  </r>
  <r>
    <x v="245"/>
    <n v="25"/>
    <x v="1"/>
    <x v="9"/>
    <x v="9"/>
    <x v="226"/>
    <x v="226"/>
    <x v="23"/>
    <x v="2"/>
    <n v="17"/>
    <x v="0"/>
    <s v="Recovered"/>
    <x v="2"/>
    <x v="0"/>
    <n v="100"/>
    <x v="1"/>
    <x v="2"/>
    <x v="2"/>
  </r>
  <r>
    <x v="246"/>
    <n v="52"/>
    <x v="0"/>
    <x v="10"/>
    <x v="10"/>
    <x v="227"/>
    <x v="227"/>
    <x v="8"/>
    <x v="3"/>
    <n v="18"/>
    <x v="0"/>
    <s v="Stable"/>
    <x v="0"/>
    <x v="1"/>
    <n v="800"/>
    <x v="0"/>
    <x v="2"/>
    <x v="3"/>
  </r>
  <r>
    <x v="247"/>
    <n v="58"/>
    <x v="1"/>
    <x v="11"/>
    <x v="11"/>
    <x v="228"/>
    <x v="116"/>
    <x v="16"/>
    <x v="1"/>
    <n v="25"/>
    <x v="0"/>
    <s v="Recovered"/>
    <x v="1"/>
    <x v="1"/>
    <n v="20000"/>
    <x v="0"/>
    <x v="2"/>
    <x v="1"/>
  </r>
  <r>
    <x v="248"/>
    <n v="32"/>
    <x v="0"/>
    <x v="12"/>
    <x v="12"/>
    <x v="229"/>
    <x v="228"/>
    <x v="17"/>
    <x v="3"/>
    <n v="19"/>
    <x v="0"/>
    <s v="Recovered"/>
    <x v="0"/>
    <x v="1"/>
    <n v="12000"/>
    <x v="1"/>
    <x v="2"/>
    <x v="3"/>
  </r>
  <r>
    <x v="249"/>
    <n v="55"/>
    <x v="1"/>
    <x v="13"/>
    <x v="13"/>
    <x v="230"/>
    <x v="52"/>
    <x v="8"/>
    <x v="1"/>
    <n v="20"/>
    <x v="0"/>
    <s v="Recovered"/>
    <x v="1"/>
    <x v="1"/>
    <n v="6000"/>
    <x v="0"/>
    <x v="2"/>
    <x v="1"/>
  </r>
  <r>
    <x v="250"/>
    <n v="65"/>
    <x v="0"/>
    <x v="14"/>
    <x v="14"/>
    <x v="231"/>
    <x v="229"/>
    <x v="22"/>
    <x v="3"/>
    <n v="21"/>
    <x v="0"/>
    <s v="Stable"/>
    <x v="0"/>
    <x v="1"/>
    <n v="4000"/>
    <x v="2"/>
    <x v="2"/>
    <x v="3"/>
  </r>
  <r>
    <x v="251"/>
    <n v="55"/>
    <x v="0"/>
    <x v="0"/>
    <x v="0"/>
    <x v="232"/>
    <x v="230"/>
    <x v="0"/>
    <x v="0"/>
    <n v="22"/>
    <x v="1"/>
    <s v="Recovered"/>
    <x v="1"/>
    <x v="1"/>
    <n v="15000"/>
    <x v="0"/>
    <x v="2"/>
    <x v="0"/>
  </r>
  <r>
    <x v="252"/>
    <n v="62"/>
    <x v="1"/>
    <x v="1"/>
    <x v="1"/>
    <x v="233"/>
    <x v="231"/>
    <x v="21"/>
    <x v="3"/>
    <n v="20"/>
    <x v="0"/>
    <s v="Stable"/>
    <x v="0"/>
    <x v="0"/>
    <n v="2000"/>
    <x v="2"/>
    <x v="2"/>
    <x v="3"/>
  </r>
  <r>
    <x v="253"/>
    <n v="35"/>
    <x v="0"/>
    <x v="2"/>
    <x v="2"/>
    <x v="10"/>
    <x v="232"/>
    <x v="2"/>
    <x v="0"/>
    <n v="18"/>
    <x v="1"/>
    <s v="Recovered"/>
    <x v="2"/>
    <x v="1"/>
    <n v="500"/>
    <x v="1"/>
    <x v="2"/>
    <x v="0"/>
  </r>
  <r>
    <x v="254"/>
    <n v="78"/>
    <x v="1"/>
    <x v="3"/>
    <x v="3"/>
    <x v="234"/>
    <x v="233"/>
    <x v="3"/>
    <x v="2"/>
    <n v="24"/>
    <x v="0"/>
    <s v="Stable"/>
    <x v="3"/>
    <x v="0"/>
    <n v="10000"/>
    <x v="2"/>
    <x v="2"/>
    <x v="2"/>
  </r>
  <r>
    <x v="255"/>
    <n v="53"/>
    <x v="0"/>
    <x v="4"/>
    <x v="4"/>
    <x v="235"/>
    <x v="108"/>
    <x v="13"/>
    <x v="2"/>
    <n v="27"/>
    <x v="1"/>
    <s v="Recovered"/>
    <x v="0"/>
    <x v="0"/>
    <n v="25000"/>
    <x v="0"/>
    <x v="2"/>
    <x v="2"/>
  </r>
  <r>
    <x v="256"/>
    <n v="72"/>
    <x v="1"/>
    <x v="5"/>
    <x v="5"/>
    <x v="236"/>
    <x v="234"/>
    <x v="5"/>
    <x v="3"/>
    <n v="19"/>
    <x v="0"/>
    <s v="Stable"/>
    <x v="0"/>
    <x v="0"/>
    <n v="1000"/>
    <x v="2"/>
    <x v="2"/>
    <x v="3"/>
  </r>
  <r>
    <x v="257"/>
    <n v="60"/>
    <x v="0"/>
    <x v="6"/>
    <x v="6"/>
    <x v="237"/>
    <x v="235"/>
    <x v="22"/>
    <x v="0"/>
    <n v="21"/>
    <x v="1"/>
    <s v="Recovered"/>
    <x v="1"/>
    <x v="0"/>
    <n v="8000"/>
    <x v="0"/>
    <x v="2"/>
    <x v="0"/>
  </r>
  <r>
    <x v="258"/>
    <n v="45"/>
    <x v="1"/>
    <x v="7"/>
    <x v="7"/>
    <x v="238"/>
    <x v="236"/>
    <x v="19"/>
    <x v="3"/>
    <n v="23"/>
    <x v="0"/>
    <s v="Recovered"/>
    <x v="0"/>
    <x v="1"/>
    <n v="3000"/>
    <x v="0"/>
    <x v="2"/>
    <x v="3"/>
  </r>
  <r>
    <x v="259"/>
    <n v="75"/>
    <x v="0"/>
    <x v="8"/>
    <x v="8"/>
    <x v="239"/>
    <x v="237"/>
    <x v="14"/>
    <x v="2"/>
    <n v="25"/>
    <x v="1"/>
    <s v="Stable"/>
    <x v="3"/>
    <x v="1"/>
    <n v="18000"/>
    <x v="2"/>
    <x v="2"/>
    <x v="2"/>
  </r>
  <r>
    <x v="260"/>
    <n v="28"/>
    <x v="1"/>
    <x v="9"/>
    <x v="9"/>
    <x v="240"/>
    <x v="238"/>
    <x v="0"/>
    <x v="3"/>
    <n v="18"/>
    <x v="0"/>
    <s v="Recovered"/>
    <x v="2"/>
    <x v="1"/>
    <n v="100"/>
    <x v="1"/>
    <x v="2"/>
    <x v="3"/>
  </r>
  <r>
    <x v="261"/>
    <n v="52"/>
    <x v="0"/>
    <x v="10"/>
    <x v="10"/>
    <x v="241"/>
    <x v="194"/>
    <x v="15"/>
    <x v="1"/>
    <n v="19"/>
    <x v="0"/>
    <s v="Stable"/>
    <x v="0"/>
    <x v="1"/>
    <n v="800"/>
    <x v="0"/>
    <x v="2"/>
    <x v="1"/>
  </r>
  <r>
    <x v="262"/>
    <n v="67"/>
    <x v="1"/>
    <x v="11"/>
    <x v="11"/>
    <x v="242"/>
    <x v="239"/>
    <x v="0"/>
    <x v="1"/>
    <n v="26"/>
    <x v="0"/>
    <s v="Recovered"/>
    <x v="1"/>
    <x v="0"/>
    <n v="20000"/>
    <x v="2"/>
    <x v="2"/>
    <x v="1"/>
  </r>
  <r>
    <x v="263"/>
    <n v="35"/>
    <x v="0"/>
    <x v="12"/>
    <x v="12"/>
    <x v="243"/>
    <x v="240"/>
    <x v="17"/>
    <x v="2"/>
    <n v="20"/>
    <x v="0"/>
    <s v="Recovered"/>
    <x v="0"/>
    <x v="0"/>
    <n v="12000"/>
    <x v="1"/>
    <x v="2"/>
    <x v="2"/>
  </r>
  <r>
    <x v="264"/>
    <n v="50"/>
    <x v="1"/>
    <x v="13"/>
    <x v="13"/>
    <x v="244"/>
    <x v="222"/>
    <x v="8"/>
    <x v="3"/>
    <n v="21"/>
    <x v="0"/>
    <s v="Recovered"/>
    <x v="1"/>
    <x v="1"/>
    <n v="6000"/>
    <x v="0"/>
    <x v="2"/>
    <x v="3"/>
  </r>
  <r>
    <x v="265"/>
    <n v="60"/>
    <x v="0"/>
    <x v="14"/>
    <x v="14"/>
    <x v="245"/>
    <x v="241"/>
    <x v="10"/>
    <x v="1"/>
    <n v="22"/>
    <x v="0"/>
    <s v="Stable"/>
    <x v="0"/>
    <x v="0"/>
    <n v="4000"/>
    <x v="0"/>
    <x v="2"/>
    <x v="1"/>
  </r>
  <r>
    <x v="266"/>
    <n v="48"/>
    <x v="0"/>
    <x v="0"/>
    <x v="0"/>
    <x v="246"/>
    <x v="242"/>
    <x v="18"/>
    <x v="3"/>
    <n v="23"/>
    <x v="1"/>
    <s v="Recovered"/>
    <x v="0"/>
    <x v="0"/>
    <n v="15000"/>
    <x v="0"/>
    <x v="2"/>
    <x v="1"/>
  </r>
  <r>
    <x v="267"/>
    <n v="65"/>
    <x v="1"/>
    <x v="1"/>
    <x v="1"/>
    <x v="247"/>
    <x v="243"/>
    <x v="21"/>
    <x v="1"/>
    <n v="21"/>
    <x v="0"/>
    <s v="Stable"/>
    <x v="1"/>
    <x v="0"/>
    <n v="2000"/>
    <x v="2"/>
    <x v="2"/>
    <x v="1"/>
  </r>
  <r>
    <x v="268"/>
    <n v="30"/>
    <x v="0"/>
    <x v="2"/>
    <x v="2"/>
    <x v="248"/>
    <x v="64"/>
    <x v="19"/>
    <x v="3"/>
    <n v="19"/>
    <x v="0"/>
    <s v="Recovered"/>
    <x v="2"/>
    <x v="1"/>
    <n v="500"/>
    <x v="1"/>
    <x v="2"/>
    <x v="3"/>
  </r>
  <r>
    <x v="269"/>
    <n v="70"/>
    <x v="1"/>
    <x v="3"/>
    <x v="3"/>
    <x v="249"/>
    <x v="60"/>
    <x v="4"/>
    <x v="0"/>
    <n v="25"/>
    <x v="1"/>
    <s v="Stable"/>
    <x v="3"/>
    <x v="0"/>
    <n v="10000"/>
    <x v="2"/>
    <x v="2"/>
    <x v="0"/>
  </r>
  <r>
    <x v="270"/>
    <n v="55"/>
    <x v="0"/>
    <x v="4"/>
    <x v="4"/>
    <x v="250"/>
    <x v="244"/>
    <x v="16"/>
    <x v="2"/>
    <n v="28"/>
    <x v="0"/>
    <s v="Recovered"/>
    <x v="0"/>
    <x v="1"/>
    <n v="25000"/>
    <x v="0"/>
    <x v="2"/>
    <x v="4"/>
  </r>
  <r>
    <x v="271"/>
    <n v="68"/>
    <x v="1"/>
    <x v="5"/>
    <x v="5"/>
    <x v="251"/>
    <x v="10"/>
    <x v="18"/>
    <x v="0"/>
    <n v="20"/>
    <x v="0"/>
    <s v="Stable"/>
    <x v="0"/>
    <x v="1"/>
    <n v="1000"/>
    <x v="2"/>
    <x v="2"/>
    <x v="0"/>
  </r>
  <r>
    <x v="272"/>
    <n v="45"/>
    <x v="0"/>
    <x v="6"/>
    <x v="6"/>
    <x v="252"/>
    <x v="245"/>
    <x v="6"/>
    <x v="3"/>
    <n v="22"/>
    <x v="0"/>
    <s v="Recovered"/>
    <x v="1"/>
    <x v="0"/>
    <n v="8000"/>
    <x v="0"/>
    <x v="2"/>
    <x v="1"/>
  </r>
  <r>
    <x v="273"/>
    <n v="40"/>
    <x v="1"/>
    <x v="7"/>
    <x v="7"/>
    <x v="181"/>
    <x v="246"/>
    <x v="19"/>
    <x v="0"/>
    <n v="24"/>
    <x v="0"/>
    <s v="Recovered"/>
    <x v="0"/>
    <x v="0"/>
    <n v="3000"/>
    <x v="0"/>
    <x v="2"/>
    <x v="0"/>
  </r>
  <r>
    <x v="274"/>
    <n v="78"/>
    <x v="0"/>
    <x v="8"/>
    <x v="8"/>
    <x v="253"/>
    <x v="247"/>
    <x v="18"/>
    <x v="3"/>
    <n v="26"/>
    <x v="1"/>
    <s v="Stable"/>
    <x v="3"/>
    <x v="0"/>
    <n v="18000"/>
    <x v="2"/>
    <x v="2"/>
    <x v="3"/>
  </r>
  <r>
    <x v="275"/>
    <n v="25"/>
    <x v="1"/>
    <x v="9"/>
    <x v="9"/>
    <x v="254"/>
    <x v="218"/>
    <x v="0"/>
    <x v="2"/>
    <n v="19"/>
    <x v="0"/>
    <s v="Recovered"/>
    <x v="2"/>
    <x v="1"/>
    <n v="100"/>
    <x v="1"/>
    <x v="2"/>
    <x v="2"/>
  </r>
  <r>
    <x v="276"/>
    <n v="52"/>
    <x v="0"/>
    <x v="10"/>
    <x v="10"/>
    <x v="255"/>
    <x v="248"/>
    <x v="8"/>
    <x v="3"/>
    <n v="20"/>
    <x v="0"/>
    <s v="Stable"/>
    <x v="0"/>
    <x v="1"/>
    <n v="800"/>
    <x v="0"/>
    <x v="2"/>
    <x v="3"/>
  </r>
  <r>
    <x v="277"/>
    <n v="58"/>
    <x v="1"/>
    <x v="11"/>
    <x v="11"/>
    <x v="109"/>
    <x v="249"/>
    <x v="16"/>
    <x v="0"/>
    <n v="27"/>
    <x v="0"/>
    <s v="Recovered"/>
    <x v="1"/>
    <x v="0"/>
    <n v="20000"/>
    <x v="0"/>
    <x v="2"/>
    <x v="0"/>
  </r>
  <r>
    <x v="278"/>
    <n v="32"/>
    <x v="0"/>
    <x v="12"/>
    <x v="12"/>
    <x v="256"/>
    <x v="250"/>
    <x v="25"/>
    <x v="3"/>
    <n v="21"/>
    <x v="0"/>
    <s v="Recovered"/>
    <x v="0"/>
    <x v="0"/>
    <n v="12000"/>
    <x v="1"/>
    <x v="2"/>
    <x v="3"/>
  </r>
  <r>
    <x v="279"/>
    <n v="55"/>
    <x v="1"/>
    <x v="13"/>
    <x v="13"/>
    <x v="257"/>
    <x v="251"/>
    <x v="8"/>
    <x v="1"/>
    <n v="22"/>
    <x v="0"/>
    <s v="Recovered"/>
    <x v="1"/>
    <x v="1"/>
    <n v="6000"/>
    <x v="0"/>
    <x v="2"/>
    <x v="1"/>
  </r>
  <r>
    <x v="280"/>
    <n v="65"/>
    <x v="0"/>
    <x v="14"/>
    <x v="14"/>
    <x v="246"/>
    <x v="242"/>
    <x v="24"/>
    <x v="3"/>
    <n v="23"/>
    <x v="0"/>
    <s v="Stable"/>
    <x v="0"/>
    <x v="1"/>
    <n v="4000"/>
    <x v="2"/>
    <x v="2"/>
    <x v="1"/>
  </r>
  <r>
    <x v="281"/>
    <n v="55"/>
    <x v="0"/>
    <x v="0"/>
    <x v="0"/>
    <x v="172"/>
    <x v="252"/>
    <x v="22"/>
    <x v="1"/>
    <n v="24"/>
    <x v="1"/>
    <s v="Recovered"/>
    <x v="1"/>
    <x v="0"/>
    <n v="15000"/>
    <x v="0"/>
    <x v="2"/>
    <x v="1"/>
  </r>
  <r>
    <x v="282"/>
    <n v="62"/>
    <x v="1"/>
    <x v="1"/>
    <x v="1"/>
    <x v="134"/>
    <x v="253"/>
    <x v="22"/>
    <x v="3"/>
    <n v="22"/>
    <x v="0"/>
    <s v="Stable"/>
    <x v="0"/>
    <x v="1"/>
    <n v="2000"/>
    <x v="2"/>
    <x v="2"/>
    <x v="3"/>
  </r>
  <r>
    <x v="283"/>
    <n v="35"/>
    <x v="0"/>
    <x v="2"/>
    <x v="2"/>
    <x v="258"/>
    <x v="254"/>
    <x v="26"/>
    <x v="3"/>
    <n v="20"/>
    <x v="1"/>
    <s v="Recovered"/>
    <x v="2"/>
    <x v="0"/>
    <n v="500"/>
    <x v="1"/>
    <x v="2"/>
    <x v="3"/>
  </r>
  <r>
    <x v="284"/>
    <n v="78"/>
    <x v="1"/>
    <x v="3"/>
    <x v="3"/>
    <x v="259"/>
    <x v="255"/>
    <x v="12"/>
    <x v="1"/>
    <n v="26"/>
    <x v="0"/>
    <s v="Stable"/>
    <x v="3"/>
    <x v="0"/>
    <n v="10000"/>
    <x v="2"/>
    <x v="2"/>
    <x v="1"/>
  </r>
  <r>
    <x v="285"/>
    <n v="53"/>
    <x v="0"/>
    <x v="4"/>
    <x v="4"/>
    <x v="260"/>
    <x v="256"/>
    <x v="16"/>
    <x v="2"/>
    <n v="29"/>
    <x v="1"/>
    <s v="Recovered"/>
    <x v="0"/>
    <x v="1"/>
    <n v="25000"/>
    <x v="0"/>
    <x v="2"/>
    <x v="4"/>
  </r>
  <r>
    <x v="286"/>
    <n v="72"/>
    <x v="1"/>
    <x v="5"/>
    <x v="5"/>
    <x v="261"/>
    <x v="257"/>
    <x v="18"/>
    <x v="0"/>
    <n v="21"/>
    <x v="0"/>
    <s v="Stable"/>
    <x v="0"/>
    <x v="1"/>
    <n v="1000"/>
    <x v="2"/>
    <x v="2"/>
    <x v="0"/>
  </r>
  <r>
    <x v="287"/>
    <n v="60"/>
    <x v="0"/>
    <x v="6"/>
    <x v="6"/>
    <x v="262"/>
    <x v="258"/>
    <x v="0"/>
    <x v="0"/>
    <n v="23"/>
    <x v="1"/>
    <s v="Recovered"/>
    <x v="1"/>
    <x v="0"/>
    <n v="8000"/>
    <x v="0"/>
    <x v="2"/>
    <x v="0"/>
  </r>
  <r>
    <x v="288"/>
    <n v="45"/>
    <x v="1"/>
    <x v="7"/>
    <x v="7"/>
    <x v="78"/>
    <x v="259"/>
    <x v="7"/>
    <x v="3"/>
    <n v="25"/>
    <x v="0"/>
    <s v="Recovered"/>
    <x v="0"/>
    <x v="0"/>
    <n v="3000"/>
    <x v="0"/>
    <x v="2"/>
    <x v="3"/>
  </r>
  <r>
    <x v="289"/>
    <n v="75"/>
    <x v="0"/>
    <x v="8"/>
    <x v="8"/>
    <x v="263"/>
    <x v="260"/>
    <x v="18"/>
    <x v="2"/>
    <n v="27"/>
    <x v="1"/>
    <s v="Stable"/>
    <x v="3"/>
    <x v="1"/>
    <n v="18000"/>
    <x v="2"/>
    <x v="2"/>
    <x v="2"/>
  </r>
  <r>
    <x v="290"/>
    <n v="52"/>
    <x v="0"/>
    <x v="10"/>
    <x v="10"/>
    <x v="97"/>
    <x v="261"/>
    <x v="8"/>
    <x v="1"/>
    <n v="21"/>
    <x v="0"/>
    <s v="Stable"/>
    <x v="0"/>
    <x v="0"/>
    <n v="800"/>
    <x v="0"/>
    <x v="2"/>
    <x v="1"/>
  </r>
  <r>
    <x v="291"/>
    <n v="67"/>
    <x v="1"/>
    <x v="11"/>
    <x v="11"/>
    <x v="154"/>
    <x v="262"/>
    <x v="8"/>
    <x v="2"/>
    <n v="28"/>
    <x v="0"/>
    <s v="Recovered"/>
    <x v="1"/>
    <x v="1"/>
    <n v="20000"/>
    <x v="2"/>
    <x v="2"/>
    <x v="2"/>
  </r>
  <r>
    <x v="292"/>
    <n v="35"/>
    <x v="0"/>
    <x v="12"/>
    <x v="12"/>
    <x v="264"/>
    <x v="263"/>
    <x v="25"/>
    <x v="2"/>
    <n v="22"/>
    <x v="0"/>
    <s v="Recovered"/>
    <x v="0"/>
    <x v="1"/>
    <n v="12000"/>
    <x v="1"/>
    <x v="2"/>
    <x v="2"/>
  </r>
  <r>
    <x v="293"/>
    <n v="50"/>
    <x v="1"/>
    <x v="13"/>
    <x v="13"/>
    <x v="265"/>
    <x v="264"/>
    <x v="7"/>
    <x v="2"/>
    <n v="23"/>
    <x v="0"/>
    <s v="Recovered"/>
    <x v="1"/>
    <x v="0"/>
    <n v="6000"/>
    <x v="0"/>
    <x v="2"/>
    <x v="2"/>
  </r>
  <r>
    <x v="294"/>
    <n v="60"/>
    <x v="0"/>
    <x v="14"/>
    <x v="14"/>
    <x v="266"/>
    <x v="265"/>
    <x v="10"/>
    <x v="3"/>
    <n v="24"/>
    <x v="0"/>
    <s v="Stable"/>
    <x v="0"/>
    <x v="0"/>
    <n v="4000"/>
    <x v="0"/>
    <x v="2"/>
    <x v="3"/>
  </r>
  <r>
    <x v="295"/>
    <n v="48"/>
    <x v="0"/>
    <x v="0"/>
    <x v="0"/>
    <x v="267"/>
    <x v="266"/>
    <x v="18"/>
    <x v="2"/>
    <n v="25"/>
    <x v="1"/>
    <s v="Recovered"/>
    <x v="0"/>
    <x v="0"/>
    <n v="15000"/>
    <x v="0"/>
    <x v="2"/>
    <x v="2"/>
  </r>
  <r>
    <x v="296"/>
    <n v="65"/>
    <x v="1"/>
    <x v="1"/>
    <x v="1"/>
    <x v="268"/>
    <x v="27"/>
    <x v="1"/>
    <x v="3"/>
    <n v="23"/>
    <x v="0"/>
    <s v="Stable"/>
    <x v="1"/>
    <x v="0"/>
    <n v="2000"/>
    <x v="2"/>
    <x v="2"/>
    <x v="3"/>
  </r>
  <r>
    <x v="297"/>
    <n v="30"/>
    <x v="0"/>
    <x v="2"/>
    <x v="2"/>
    <x v="121"/>
    <x v="82"/>
    <x v="26"/>
    <x v="2"/>
    <n v="21"/>
    <x v="0"/>
    <s v="Recovered"/>
    <x v="2"/>
    <x v="1"/>
    <n v="500"/>
    <x v="1"/>
    <x v="2"/>
    <x v="2"/>
  </r>
  <r>
    <x v="298"/>
    <n v="70"/>
    <x v="1"/>
    <x v="3"/>
    <x v="3"/>
    <x v="269"/>
    <x v="267"/>
    <x v="16"/>
    <x v="2"/>
    <n v="27"/>
    <x v="1"/>
    <s v="Stable"/>
    <x v="3"/>
    <x v="1"/>
    <n v="10000"/>
    <x v="2"/>
    <x v="2"/>
    <x v="2"/>
  </r>
  <r>
    <x v="299"/>
    <n v="55"/>
    <x v="0"/>
    <x v="4"/>
    <x v="4"/>
    <x v="148"/>
    <x v="268"/>
    <x v="16"/>
    <x v="1"/>
    <n v="30"/>
    <x v="0"/>
    <s v="Recovered"/>
    <x v="0"/>
    <x v="1"/>
    <n v="25000"/>
    <x v="0"/>
    <x v="2"/>
    <x v="1"/>
  </r>
  <r>
    <x v="300"/>
    <n v="68"/>
    <x v="1"/>
    <x v="5"/>
    <x v="5"/>
    <x v="270"/>
    <x v="269"/>
    <x v="1"/>
    <x v="1"/>
    <n v="22"/>
    <x v="0"/>
    <s v="Stable"/>
    <x v="0"/>
    <x v="1"/>
    <n v="1000"/>
    <x v="2"/>
    <x v="2"/>
    <x v="1"/>
  </r>
  <r>
    <x v="301"/>
    <n v="45"/>
    <x v="0"/>
    <x v="6"/>
    <x v="6"/>
    <x v="55"/>
    <x v="270"/>
    <x v="21"/>
    <x v="0"/>
    <n v="24"/>
    <x v="0"/>
    <s v="Recovered"/>
    <x v="1"/>
    <x v="1"/>
    <n v="8000"/>
    <x v="0"/>
    <x v="2"/>
    <x v="0"/>
  </r>
  <r>
    <x v="302"/>
    <n v="40"/>
    <x v="1"/>
    <x v="7"/>
    <x v="7"/>
    <x v="271"/>
    <x v="58"/>
    <x v="20"/>
    <x v="0"/>
    <n v="26"/>
    <x v="0"/>
    <s v="Recovered"/>
    <x v="0"/>
    <x v="1"/>
    <n v="3000"/>
    <x v="0"/>
    <x v="2"/>
    <x v="0"/>
  </r>
  <r>
    <x v="303"/>
    <n v="78"/>
    <x v="0"/>
    <x v="8"/>
    <x v="8"/>
    <x v="272"/>
    <x v="271"/>
    <x v="14"/>
    <x v="2"/>
    <n v="28"/>
    <x v="1"/>
    <s v="Stable"/>
    <x v="3"/>
    <x v="1"/>
    <n v="18000"/>
    <x v="2"/>
    <x v="2"/>
    <x v="2"/>
  </r>
  <r>
    <x v="304"/>
    <n v="25"/>
    <x v="1"/>
    <x v="9"/>
    <x v="9"/>
    <x v="185"/>
    <x v="272"/>
    <x v="23"/>
    <x v="1"/>
    <n v="21"/>
    <x v="0"/>
    <s v="Recovered"/>
    <x v="2"/>
    <x v="0"/>
    <n v="100"/>
    <x v="1"/>
    <x v="2"/>
    <x v="1"/>
  </r>
  <r>
    <x v="305"/>
    <n v="52"/>
    <x v="0"/>
    <x v="10"/>
    <x v="10"/>
    <x v="273"/>
    <x v="273"/>
    <x v="15"/>
    <x v="1"/>
    <n v="22"/>
    <x v="0"/>
    <s v="Stable"/>
    <x v="0"/>
    <x v="1"/>
    <n v="800"/>
    <x v="0"/>
    <x v="2"/>
    <x v="1"/>
  </r>
  <r>
    <x v="306"/>
    <n v="58"/>
    <x v="1"/>
    <x v="11"/>
    <x v="11"/>
    <x v="71"/>
    <x v="274"/>
    <x v="8"/>
    <x v="0"/>
    <n v="29"/>
    <x v="0"/>
    <s v="Recovered"/>
    <x v="1"/>
    <x v="1"/>
    <n v="20000"/>
    <x v="0"/>
    <x v="2"/>
    <x v="0"/>
  </r>
  <r>
    <x v="307"/>
    <n v="32"/>
    <x v="0"/>
    <x v="12"/>
    <x v="12"/>
    <x v="274"/>
    <x v="275"/>
    <x v="23"/>
    <x v="2"/>
    <n v="23"/>
    <x v="0"/>
    <s v="Recovered"/>
    <x v="0"/>
    <x v="1"/>
    <n v="12000"/>
    <x v="1"/>
    <x v="2"/>
    <x v="2"/>
  </r>
  <r>
    <x v="308"/>
    <n v="55"/>
    <x v="1"/>
    <x v="13"/>
    <x v="13"/>
    <x v="175"/>
    <x v="276"/>
    <x v="8"/>
    <x v="0"/>
    <n v="24"/>
    <x v="0"/>
    <s v="Recovered"/>
    <x v="1"/>
    <x v="1"/>
    <n v="6000"/>
    <x v="0"/>
    <x v="2"/>
    <x v="0"/>
  </r>
  <r>
    <x v="309"/>
    <n v="65"/>
    <x v="0"/>
    <x v="14"/>
    <x v="14"/>
    <x v="71"/>
    <x v="277"/>
    <x v="22"/>
    <x v="0"/>
    <n v="25"/>
    <x v="0"/>
    <s v="Stable"/>
    <x v="0"/>
    <x v="1"/>
    <n v="4000"/>
    <x v="2"/>
    <x v="2"/>
    <x v="0"/>
  </r>
  <r>
    <x v="310"/>
    <n v="55"/>
    <x v="0"/>
    <x v="0"/>
    <x v="0"/>
    <x v="275"/>
    <x v="278"/>
    <x v="22"/>
    <x v="0"/>
    <n v="26"/>
    <x v="1"/>
    <s v="Recovered"/>
    <x v="1"/>
    <x v="1"/>
    <n v="15000"/>
    <x v="0"/>
    <x v="2"/>
    <x v="0"/>
  </r>
  <r>
    <x v="311"/>
    <n v="62"/>
    <x v="1"/>
    <x v="1"/>
    <x v="1"/>
    <x v="276"/>
    <x v="279"/>
    <x v="20"/>
    <x v="1"/>
    <n v="24"/>
    <x v="0"/>
    <s v="Stable"/>
    <x v="0"/>
    <x v="1"/>
    <n v="2000"/>
    <x v="2"/>
    <x v="2"/>
    <x v="1"/>
  </r>
  <r>
    <x v="312"/>
    <n v="35"/>
    <x v="0"/>
    <x v="2"/>
    <x v="2"/>
    <x v="277"/>
    <x v="280"/>
    <x v="26"/>
    <x v="3"/>
    <n v="22"/>
    <x v="1"/>
    <s v="Recovered"/>
    <x v="2"/>
    <x v="1"/>
    <n v="500"/>
    <x v="1"/>
    <x v="2"/>
    <x v="3"/>
  </r>
  <r>
    <x v="313"/>
    <n v="78"/>
    <x v="1"/>
    <x v="3"/>
    <x v="3"/>
    <x v="278"/>
    <x v="281"/>
    <x v="3"/>
    <x v="2"/>
    <n v="28"/>
    <x v="0"/>
    <s v="Stable"/>
    <x v="3"/>
    <x v="1"/>
    <n v="10000"/>
    <x v="2"/>
    <x v="2"/>
    <x v="2"/>
  </r>
  <r>
    <x v="314"/>
    <n v="53"/>
    <x v="0"/>
    <x v="4"/>
    <x v="4"/>
    <x v="279"/>
    <x v="151"/>
    <x v="13"/>
    <x v="1"/>
    <n v="31"/>
    <x v="1"/>
    <s v="Recovered"/>
    <x v="0"/>
    <x v="0"/>
    <n v="25000"/>
    <x v="0"/>
    <x v="3"/>
    <x v="1"/>
  </r>
  <r>
    <x v="315"/>
    <n v="72"/>
    <x v="1"/>
    <x v="5"/>
    <x v="5"/>
    <x v="280"/>
    <x v="282"/>
    <x v="5"/>
    <x v="1"/>
    <n v="23"/>
    <x v="0"/>
    <s v="Stable"/>
    <x v="0"/>
    <x v="1"/>
    <n v="1000"/>
    <x v="2"/>
    <x v="2"/>
    <x v="1"/>
  </r>
  <r>
    <x v="316"/>
    <n v="60"/>
    <x v="0"/>
    <x v="6"/>
    <x v="6"/>
    <x v="281"/>
    <x v="283"/>
    <x v="14"/>
    <x v="3"/>
    <n v="25"/>
    <x v="1"/>
    <s v="Recovered"/>
    <x v="1"/>
    <x v="1"/>
    <n v="8000"/>
    <x v="0"/>
    <x v="2"/>
    <x v="3"/>
  </r>
  <r>
    <x v="317"/>
    <n v="45"/>
    <x v="1"/>
    <x v="7"/>
    <x v="7"/>
    <x v="16"/>
    <x v="284"/>
    <x v="7"/>
    <x v="3"/>
    <n v="27"/>
    <x v="0"/>
    <s v="Recovered"/>
    <x v="0"/>
    <x v="1"/>
    <n v="3000"/>
    <x v="0"/>
    <x v="2"/>
    <x v="3"/>
  </r>
  <r>
    <x v="318"/>
    <n v="75"/>
    <x v="0"/>
    <x v="8"/>
    <x v="8"/>
    <x v="282"/>
    <x v="227"/>
    <x v="18"/>
    <x v="3"/>
    <n v="29"/>
    <x v="1"/>
    <s v="Stable"/>
    <x v="3"/>
    <x v="0"/>
    <n v="18000"/>
    <x v="2"/>
    <x v="2"/>
    <x v="3"/>
  </r>
  <r>
    <x v="319"/>
    <n v="28"/>
    <x v="1"/>
    <x v="9"/>
    <x v="9"/>
    <x v="283"/>
    <x v="285"/>
    <x v="0"/>
    <x v="2"/>
    <n v="22"/>
    <x v="0"/>
    <s v="Recovered"/>
    <x v="2"/>
    <x v="0"/>
    <n v="100"/>
    <x v="1"/>
    <x v="2"/>
    <x v="2"/>
  </r>
  <r>
    <x v="320"/>
    <n v="52"/>
    <x v="0"/>
    <x v="10"/>
    <x v="10"/>
    <x v="284"/>
    <x v="286"/>
    <x v="15"/>
    <x v="2"/>
    <n v="23"/>
    <x v="0"/>
    <s v="Stable"/>
    <x v="0"/>
    <x v="0"/>
    <n v="800"/>
    <x v="0"/>
    <x v="2"/>
    <x v="2"/>
  </r>
  <r>
    <x v="321"/>
    <n v="67"/>
    <x v="1"/>
    <x v="11"/>
    <x v="11"/>
    <x v="285"/>
    <x v="287"/>
    <x v="16"/>
    <x v="1"/>
    <n v="30"/>
    <x v="0"/>
    <s v="Recovered"/>
    <x v="1"/>
    <x v="1"/>
    <n v="20000"/>
    <x v="2"/>
    <x v="2"/>
    <x v="0"/>
  </r>
  <r>
    <x v="322"/>
    <n v="35"/>
    <x v="0"/>
    <x v="12"/>
    <x v="12"/>
    <x v="286"/>
    <x v="288"/>
    <x v="17"/>
    <x v="3"/>
    <n v="24"/>
    <x v="0"/>
    <s v="Recovered"/>
    <x v="0"/>
    <x v="0"/>
    <n v="12000"/>
    <x v="1"/>
    <x v="2"/>
    <x v="3"/>
  </r>
  <r>
    <x v="323"/>
    <n v="50"/>
    <x v="1"/>
    <x v="13"/>
    <x v="13"/>
    <x v="207"/>
    <x v="289"/>
    <x v="18"/>
    <x v="0"/>
    <n v="25"/>
    <x v="0"/>
    <s v="Recovered"/>
    <x v="1"/>
    <x v="0"/>
    <n v="6000"/>
    <x v="0"/>
    <x v="2"/>
    <x v="0"/>
  </r>
  <r>
    <x v="324"/>
    <n v="60"/>
    <x v="0"/>
    <x v="14"/>
    <x v="14"/>
    <x v="287"/>
    <x v="290"/>
    <x v="10"/>
    <x v="0"/>
    <n v="26"/>
    <x v="0"/>
    <s v="Stable"/>
    <x v="0"/>
    <x v="1"/>
    <n v="4000"/>
    <x v="0"/>
    <x v="2"/>
    <x v="0"/>
  </r>
  <r>
    <x v="325"/>
    <n v="48"/>
    <x v="0"/>
    <x v="0"/>
    <x v="0"/>
    <x v="288"/>
    <x v="170"/>
    <x v="0"/>
    <x v="1"/>
    <n v="27"/>
    <x v="1"/>
    <s v="Recovered"/>
    <x v="0"/>
    <x v="1"/>
    <n v="15000"/>
    <x v="0"/>
    <x v="2"/>
    <x v="1"/>
  </r>
  <r>
    <x v="326"/>
    <n v="65"/>
    <x v="1"/>
    <x v="1"/>
    <x v="1"/>
    <x v="289"/>
    <x v="291"/>
    <x v="20"/>
    <x v="1"/>
    <n v="25"/>
    <x v="0"/>
    <s v="Stable"/>
    <x v="1"/>
    <x v="0"/>
    <n v="2000"/>
    <x v="2"/>
    <x v="2"/>
    <x v="1"/>
  </r>
  <r>
    <x v="327"/>
    <n v="30"/>
    <x v="0"/>
    <x v="2"/>
    <x v="2"/>
    <x v="290"/>
    <x v="292"/>
    <x v="2"/>
    <x v="0"/>
    <n v="23"/>
    <x v="0"/>
    <s v="Recovered"/>
    <x v="2"/>
    <x v="1"/>
    <n v="500"/>
    <x v="1"/>
    <x v="2"/>
    <x v="0"/>
  </r>
  <r>
    <x v="328"/>
    <n v="70"/>
    <x v="1"/>
    <x v="3"/>
    <x v="3"/>
    <x v="291"/>
    <x v="293"/>
    <x v="4"/>
    <x v="1"/>
    <n v="29"/>
    <x v="1"/>
    <s v="Stable"/>
    <x v="3"/>
    <x v="1"/>
    <n v="10000"/>
    <x v="2"/>
    <x v="2"/>
    <x v="1"/>
  </r>
  <r>
    <x v="329"/>
    <n v="55"/>
    <x v="0"/>
    <x v="4"/>
    <x v="4"/>
    <x v="292"/>
    <x v="294"/>
    <x v="4"/>
    <x v="3"/>
    <n v="32"/>
    <x v="0"/>
    <s v="Recovered"/>
    <x v="0"/>
    <x v="0"/>
    <n v="25000"/>
    <x v="0"/>
    <x v="3"/>
    <x v="3"/>
  </r>
  <r>
    <x v="330"/>
    <n v="68"/>
    <x v="1"/>
    <x v="5"/>
    <x v="5"/>
    <x v="293"/>
    <x v="295"/>
    <x v="5"/>
    <x v="3"/>
    <n v="24"/>
    <x v="0"/>
    <s v="Stable"/>
    <x v="0"/>
    <x v="0"/>
    <n v="1000"/>
    <x v="2"/>
    <x v="2"/>
    <x v="3"/>
  </r>
  <r>
    <x v="331"/>
    <n v="45"/>
    <x v="0"/>
    <x v="6"/>
    <x v="6"/>
    <x v="239"/>
    <x v="159"/>
    <x v="14"/>
    <x v="2"/>
    <n v="26"/>
    <x v="0"/>
    <s v="Recovered"/>
    <x v="1"/>
    <x v="0"/>
    <n v="8000"/>
    <x v="0"/>
    <x v="2"/>
    <x v="2"/>
  </r>
  <r>
    <x v="332"/>
    <n v="40"/>
    <x v="1"/>
    <x v="7"/>
    <x v="7"/>
    <x v="294"/>
    <x v="296"/>
    <x v="20"/>
    <x v="3"/>
    <n v="28"/>
    <x v="0"/>
    <s v="Recovered"/>
    <x v="0"/>
    <x v="0"/>
    <n v="3000"/>
    <x v="0"/>
    <x v="2"/>
    <x v="1"/>
  </r>
  <r>
    <x v="333"/>
    <n v="78"/>
    <x v="0"/>
    <x v="8"/>
    <x v="8"/>
    <x v="216"/>
    <x v="297"/>
    <x v="14"/>
    <x v="1"/>
    <n v="30"/>
    <x v="1"/>
    <s v="Stable"/>
    <x v="3"/>
    <x v="1"/>
    <n v="18000"/>
    <x v="2"/>
    <x v="2"/>
    <x v="1"/>
  </r>
  <r>
    <x v="334"/>
    <n v="25"/>
    <x v="1"/>
    <x v="9"/>
    <x v="9"/>
    <x v="295"/>
    <x v="298"/>
    <x v="23"/>
    <x v="0"/>
    <n v="23"/>
    <x v="0"/>
    <s v="Recovered"/>
    <x v="2"/>
    <x v="0"/>
    <n v="100"/>
    <x v="1"/>
    <x v="2"/>
    <x v="2"/>
  </r>
  <r>
    <x v="335"/>
    <n v="52"/>
    <x v="0"/>
    <x v="10"/>
    <x v="10"/>
    <x v="296"/>
    <x v="299"/>
    <x v="15"/>
    <x v="3"/>
    <n v="24"/>
    <x v="0"/>
    <s v="Stable"/>
    <x v="0"/>
    <x v="0"/>
    <n v="800"/>
    <x v="0"/>
    <x v="2"/>
    <x v="3"/>
  </r>
  <r>
    <x v="336"/>
    <n v="58"/>
    <x v="1"/>
    <x v="11"/>
    <x v="11"/>
    <x v="297"/>
    <x v="300"/>
    <x v="0"/>
    <x v="1"/>
    <n v="31"/>
    <x v="0"/>
    <s v="Recovered"/>
    <x v="1"/>
    <x v="1"/>
    <n v="20000"/>
    <x v="0"/>
    <x v="3"/>
    <x v="1"/>
  </r>
  <r>
    <x v="337"/>
    <n v="32"/>
    <x v="0"/>
    <x v="12"/>
    <x v="12"/>
    <x v="298"/>
    <x v="301"/>
    <x v="9"/>
    <x v="1"/>
    <n v="25"/>
    <x v="0"/>
    <s v="Recovered"/>
    <x v="0"/>
    <x v="0"/>
    <n v="12000"/>
    <x v="1"/>
    <x v="2"/>
    <x v="1"/>
  </r>
  <r>
    <x v="338"/>
    <n v="55"/>
    <x v="1"/>
    <x v="13"/>
    <x v="13"/>
    <x v="299"/>
    <x v="302"/>
    <x v="26"/>
    <x v="1"/>
    <n v="26"/>
    <x v="0"/>
    <s v="Recovered"/>
    <x v="1"/>
    <x v="1"/>
    <n v="6000"/>
    <x v="0"/>
    <x v="2"/>
    <x v="1"/>
  </r>
  <r>
    <x v="339"/>
    <n v="65"/>
    <x v="0"/>
    <x v="14"/>
    <x v="14"/>
    <x v="300"/>
    <x v="126"/>
    <x v="22"/>
    <x v="0"/>
    <n v="27"/>
    <x v="0"/>
    <s v="Stable"/>
    <x v="0"/>
    <x v="1"/>
    <n v="4000"/>
    <x v="2"/>
    <x v="2"/>
    <x v="0"/>
  </r>
  <r>
    <x v="340"/>
    <n v="55"/>
    <x v="0"/>
    <x v="0"/>
    <x v="0"/>
    <x v="301"/>
    <x v="303"/>
    <x v="0"/>
    <x v="2"/>
    <n v="28"/>
    <x v="1"/>
    <s v="Recovered"/>
    <x v="1"/>
    <x v="1"/>
    <n v="15000"/>
    <x v="0"/>
    <x v="2"/>
    <x v="2"/>
  </r>
  <r>
    <x v="341"/>
    <n v="62"/>
    <x v="1"/>
    <x v="1"/>
    <x v="1"/>
    <x v="302"/>
    <x v="134"/>
    <x v="1"/>
    <x v="1"/>
    <n v="26"/>
    <x v="0"/>
    <s v="Stable"/>
    <x v="0"/>
    <x v="0"/>
    <n v="2000"/>
    <x v="2"/>
    <x v="2"/>
    <x v="1"/>
  </r>
  <r>
    <x v="342"/>
    <n v="35"/>
    <x v="0"/>
    <x v="2"/>
    <x v="2"/>
    <x v="303"/>
    <x v="304"/>
    <x v="19"/>
    <x v="1"/>
    <n v="24"/>
    <x v="1"/>
    <s v="Recovered"/>
    <x v="2"/>
    <x v="0"/>
    <n v="500"/>
    <x v="1"/>
    <x v="2"/>
    <x v="0"/>
  </r>
  <r>
    <x v="343"/>
    <n v="78"/>
    <x v="1"/>
    <x v="3"/>
    <x v="3"/>
    <x v="304"/>
    <x v="305"/>
    <x v="12"/>
    <x v="0"/>
    <n v="30"/>
    <x v="0"/>
    <s v="Stable"/>
    <x v="3"/>
    <x v="1"/>
    <n v="10000"/>
    <x v="2"/>
    <x v="2"/>
    <x v="0"/>
  </r>
  <r>
    <x v="344"/>
    <n v="53"/>
    <x v="0"/>
    <x v="4"/>
    <x v="4"/>
    <x v="305"/>
    <x v="306"/>
    <x v="11"/>
    <x v="1"/>
    <n v="33"/>
    <x v="1"/>
    <s v="Recovered"/>
    <x v="0"/>
    <x v="1"/>
    <n v="25000"/>
    <x v="0"/>
    <x v="3"/>
    <x v="1"/>
  </r>
  <r>
    <x v="345"/>
    <n v="72"/>
    <x v="1"/>
    <x v="5"/>
    <x v="5"/>
    <x v="306"/>
    <x v="4"/>
    <x v="1"/>
    <x v="3"/>
    <n v="25"/>
    <x v="0"/>
    <s v="Stable"/>
    <x v="0"/>
    <x v="1"/>
    <n v="1000"/>
    <x v="2"/>
    <x v="2"/>
    <x v="3"/>
  </r>
  <r>
    <x v="346"/>
    <n v="60"/>
    <x v="0"/>
    <x v="6"/>
    <x v="6"/>
    <x v="73"/>
    <x v="307"/>
    <x v="18"/>
    <x v="2"/>
    <n v="27"/>
    <x v="1"/>
    <s v="Recovered"/>
    <x v="1"/>
    <x v="1"/>
    <n v="8000"/>
    <x v="0"/>
    <x v="2"/>
    <x v="2"/>
  </r>
  <r>
    <x v="347"/>
    <n v="45"/>
    <x v="1"/>
    <x v="7"/>
    <x v="7"/>
    <x v="307"/>
    <x v="308"/>
    <x v="7"/>
    <x v="0"/>
    <n v="29"/>
    <x v="0"/>
    <s v="Recovered"/>
    <x v="0"/>
    <x v="1"/>
    <n v="3000"/>
    <x v="0"/>
    <x v="2"/>
    <x v="0"/>
  </r>
  <r>
    <x v="348"/>
    <n v="75"/>
    <x v="0"/>
    <x v="8"/>
    <x v="8"/>
    <x v="308"/>
    <x v="309"/>
    <x v="18"/>
    <x v="2"/>
    <n v="31"/>
    <x v="1"/>
    <s v="Stable"/>
    <x v="3"/>
    <x v="1"/>
    <n v="18000"/>
    <x v="2"/>
    <x v="3"/>
    <x v="2"/>
  </r>
  <r>
    <x v="349"/>
    <n v="28"/>
    <x v="1"/>
    <x v="9"/>
    <x v="9"/>
    <x v="309"/>
    <x v="310"/>
    <x v="0"/>
    <x v="0"/>
    <n v="24"/>
    <x v="0"/>
    <s v="Recovered"/>
    <x v="2"/>
    <x v="1"/>
    <n v="100"/>
    <x v="1"/>
    <x v="2"/>
    <x v="0"/>
  </r>
  <r>
    <x v="350"/>
    <n v="67"/>
    <x v="1"/>
    <x v="11"/>
    <x v="11"/>
    <x v="310"/>
    <x v="311"/>
    <x v="16"/>
    <x v="2"/>
    <n v="32"/>
    <x v="0"/>
    <s v="Recovered"/>
    <x v="1"/>
    <x v="1"/>
    <n v="20000"/>
    <x v="2"/>
    <x v="3"/>
    <x v="2"/>
  </r>
  <r>
    <x v="351"/>
    <n v="35"/>
    <x v="0"/>
    <x v="12"/>
    <x v="12"/>
    <x v="311"/>
    <x v="312"/>
    <x v="9"/>
    <x v="0"/>
    <n v="26"/>
    <x v="0"/>
    <s v="Recovered"/>
    <x v="0"/>
    <x v="1"/>
    <n v="12000"/>
    <x v="1"/>
    <x v="2"/>
    <x v="2"/>
  </r>
  <r>
    <x v="352"/>
    <n v="50"/>
    <x v="1"/>
    <x v="13"/>
    <x v="13"/>
    <x v="312"/>
    <x v="313"/>
    <x v="8"/>
    <x v="1"/>
    <n v="27"/>
    <x v="0"/>
    <s v="Recovered"/>
    <x v="1"/>
    <x v="1"/>
    <n v="6000"/>
    <x v="0"/>
    <x v="2"/>
    <x v="1"/>
  </r>
  <r>
    <x v="353"/>
    <n v="60"/>
    <x v="0"/>
    <x v="14"/>
    <x v="14"/>
    <x v="313"/>
    <x v="314"/>
    <x v="10"/>
    <x v="3"/>
    <n v="28"/>
    <x v="0"/>
    <s v="Stable"/>
    <x v="0"/>
    <x v="0"/>
    <n v="4000"/>
    <x v="0"/>
    <x v="2"/>
    <x v="3"/>
  </r>
  <r>
    <x v="354"/>
    <n v="48"/>
    <x v="0"/>
    <x v="0"/>
    <x v="0"/>
    <x v="314"/>
    <x v="315"/>
    <x v="22"/>
    <x v="3"/>
    <n v="29"/>
    <x v="1"/>
    <s v="Recovered"/>
    <x v="0"/>
    <x v="1"/>
    <n v="15000"/>
    <x v="0"/>
    <x v="2"/>
    <x v="3"/>
  </r>
  <r>
    <x v="355"/>
    <n v="65"/>
    <x v="1"/>
    <x v="1"/>
    <x v="1"/>
    <x v="315"/>
    <x v="316"/>
    <x v="20"/>
    <x v="0"/>
    <n v="27"/>
    <x v="0"/>
    <s v="Stable"/>
    <x v="1"/>
    <x v="0"/>
    <n v="2000"/>
    <x v="2"/>
    <x v="2"/>
    <x v="0"/>
  </r>
  <r>
    <x v="356"/>
    <n v="30"/>
    <x v="0"/>
    <x v="2"/>
    <x v="2"/>
    <x v="316"/>
    <x v="317"/>
    <x v="19"/>
    <x v="2"/>
    <n v="25"/>
    <x v="0"/>
    <s v="Recovered"/>
    <x v="2"/>
    <x v="1"/>
    <n v="500"/>
    <x v="1"/>
    <x v="2"/>
    <x v="2"/>
  </r>
  <r>
    <x v="357"/>
    <n v="70"/>
    <x v="1"/>
    <x v="3"/>
    <x v="3"/>
    <x v="317"/>
    <x v="140"/>
    <x v="12"/>
    <x v="2"/>
    <n v="31"/>
    <x v="1"/>
    <s v="Stable"/>
    <x v="3"/>
    <x v="1"/>
    <n v="10000"/>
    <x v="2"/>
    <x v="3"/>
    <x v="2"/>
  </r>
  <r>
    <x v="358"/>
    <n v="55"/>
    <x v="0"/>
    <x v="4"/>
    <x v="4"/>
    <x v="318"/>
    <x v="318"/>
    <x v="4"/>
    <x v="0"/>
    <n v="34"/>
    <x v="0"/>
    <s v="Recovered"/>
    <x v="0"/>
    <x v="0"/>
    <n v="25000"/>
    <x v="0"/>
    <x v="3"/>
    <x v="0"/>
  </r>
  <r>
    <x v="359"/>
    <n v="68"/>
    <x v="1"/>
    <x v="5"/>
    <x v="5"/>
    <x v="319"/>
    <x v="319"/>
    <x v="1"/>
    <x v="3"/>
    <n v="26"/>
    <x v="0"/>
    <s v="Stable"/>
    <x v="0"/>
    <x v="0"/>
    <n v="1000"/>
    <x v="2"/>
    <x v="2"/>
    <x v="3"/>
  </r>
  <r>
    <x v="360"/>
    <n v="45"/>
    <x v="0"/>
    <x v="6"/>
    <x v="6"/>
    <x v="320"/>
    <x v="320"/>
    <x v="6"/>
    <x v="0"/>
    <n v="28"/>
    <x v="0"/>
    <s v="Recovered"/>
    <x v="1"/>
    <x v="0"/>
    <n v="8000"/>
    <x v="0"/>
    <x v="2"/>
    <x v="0"/>
  </r>
  <r>
    <x v="361"/>
    <n v="40"/>
    <x v="1"/>
    <x v="7"/>
    <x v="7"/>
    <x v="321"/>
    <x v="160"/>
    <x v="19"/>
    <x v="3"/>
    <n v="30"/>
    <x v="0"/>
    <s v="Recovered"/>
    <x v="0"/>
    <x v="0"/>
    <n v="3000"/>
    <x v="0"/>
    <x v="2"/>
    <x v="3"/>
  </r>
  <r>
    <x v="362"/>
    <n v="78"/>
    <x v="0"/>
    <x v="8"/>
    <x v="8"/>
    <x v="322"/>
    <x v="321"/>
    <x v="18"/>
    <x v="2"/>
    <n v="32"/>
    <x v="1"/>
    <s v="Stable"/>
    <x v="3"/>
    <x v="1"/>
    <n v="18000"/>
    <x v="2"/>
    <x v="3"/>
    <x v="2"/>
  </r>
  <r>
    <x v="363"/>
    <n v="25"/>
    <x v="1"/>
    <x v="9"/>
    <x v="9"/>
    <x v="323"/>
    <x v="322"/>
    <x v="0"/>
    <x v="2"/>
    <n v="25"/>
    <x v="0"/>
    <s v="Recovered"/>
    <x v="2"/>
    <x v="0"/>
    <n v="100"/>
    <x v="1"/>
    <x v="2"/>
    <x v="2"/>
  </r>
  <r>
    <x v="364"/>
    <n v="52"/>
    <x v="0"/>
    <x v="10"/>
    <x v="10"/>
    <x v="324"/>
    <x v="94"/>
    <x v="8"/>
    <x v="3"/>
    <n v="26"/>
    <x v="0"/>
    <s v="Stable"/>
    <x v="0"/>
    <x v="1"/>
    <n v="800"/>
    <x v="0"/>
    <x v="2"/>
    <x v="3"/>
  </r>
  <r>
    <x v="365"/>
    <n v="58"/>
    <x v="1"/>
    <x v="11"/>
    <x v="11"/>
    <x v="325"/>
    <x v="323"/>
    <x v="0"/>
    <x v="0"/>
    <n v="33"/>
    <x v="0"/>
    <s v="Recovered"/>
    <x v="1"/>
    <x v="1"/>
    <n v="20000"/>
    <x v="0"/>
    <x v="3"/>
    <x v="0"/>
  </r>
  <r>
    <x v="366"/>
    <n v="32"/>
    <x v="0"/>
    <x v="12"/>
    <x v="12"/>
    <x v="326"/>
    <x v="324"/>
    <x v="17"/>
    <x v="1"/>
    <n v="27"/>
    <x v="0"/>
    <s v="Recovered"/>
    <x v="0"/>
    <x v="0"/>
    <n v="12000"/>
    <x v="1"/>
    <x v="2"/>
    <x v="1"/>
  </r>
  <r>
    <x v="367"/>
    <n v="55"/>
    <x v="1"/>
    <x v="13"/>
    <x v="13"/>
    <x v="327"/>
    <x v="325"/>
    <x v="8"/>
    <x v="3"/>
    <n v="28"/>
    <x v="0"/>
    <s v="Recovered"/>
    <x v="1"/>
    <x v="1"/>
    <n v="6000"/>
    <x v="0"/>
    <x v="2"/>
    <x v="1"/>
  </r>
  <r>
    <x v="368"/>
    <n v="65"/>
    <x v="0"/>
    <x v="14"/>
    <x v="14"/>
    <x v="328"/>
    <x v="175"/>
    <x v="24"/>
    <x v="2"/>
    <n v="29"/>
    <x v="0"/>
    <s v="Stable"/>
    <x v="0"/>
    <x v="0"/>
    <n v="4000"/>
    <x v="2"/>
    <x v="2"/>
    <x v="2"/>
  </r>
  <r>
    <x v="369"/>
    <n v="55"/>
    <x v="0"/>
    <x v="0"/>
    <x v="0"/>
    <x v="329"/>
    <x v="326"/>
    <x v="22"/>
    <x v="0"/>
    <n v="30"/>
    <x v="1"/>
    <s v="Recovered"/>
    <x v="1"/>
    <x v="1"/>
    <n v="15000"/>
    <x v="0"/>
    <x v="2"/>
    <x v="0"/>
  </r>
  <r>
    <x v="370"/>
    <n v="62"/>
    <x v="1"/>
    <x v="1"/>
    <x v="1"/>
    <x v="330"/>
    <x v="45"/>
    <x v="1"/>
    <x v="1"/>
    <n v="28"/>
    <x v="0"/>
    <s v="Stable"/>
    <x v="0"/>
    <x v="0"/>
    <n v="2000"/>
    <x v="2"/>
    <x v="2"/>
    <x v="1"/>
  </r>
  <r>
    <x v="371"/>
    <n v="35"/>
    <x v="0"/>
    <x v="2"/>
    <x v="2"/>
    <x v="82"/>
    <x v="327"/>
    <x v="2"/>
    <x v="2"/>
    <n v="26"/>
    <x v="1"/>
    <s v="Recovered"/>
    <x v="2"/>
    <x v="1"/>
    <n v="500"/>
    <x v="1"/>
    <x v="2"/>
    <x v="2"/>
  </r>
  <r>
    <x v="372"/>
    <n v="78"/>
    <x v="1"/>
    <x v="3"/>
    <x v="3"/>
    <x v="255"/>
    <x v="328"/>
    <x v="12"/>
    <x v="3"/>
    <n v="33"/>
    <x v="0"/>
    <s v="Stable"/>
    <x v="3"/>
    <x v="1"/>
    <n v="10000"/>
    <x v="2"/>
    <x v="3"/>
    <x v="3"/>
  </r>
  <r>
    <x v="373"/>
    <n v="53"/>
    <x v="0"/>
    <x v="4"/>
    <x v="4"/>
    <x v="331"/>
    <x v="329"/>
    <x v="13"/>
    <x v="1"/>
    <n v="35"/>
    <x v="1"/>
    <s v="Recovered"/>
    <x v="0"/>
    <x v="1"/>
    <n v="25000"/>
    <x v="0"/>
    <x v="3"/>
    <x v="1"/>
  </r>
  <r>
    <x v="374"/>
    <n v="72"/>
    <x v="1"/>
    <x v="5"/>
    <x v="5"/>
    <x v="332"/>
    <x v="330"/>
    <x v="18"/>
    <x v="2"/>
    <n v="27"/>
    <x v="0"/>
    <s v="Stable"/>
    <x v="0"/>
    <x v="1"/>
    <n v="1000"/>
    <x v="2"/>
    <x v="2"/>
    <x v="4"/>
  </r>
  <r>
    <x v="375"/>
    <n v="60"/>
    <x v="0"/>
    <x v="6"/>
    <x v="6"/>
    <x v="333"/>
    <x v="226"/>
    <x v="0"/>
    <x v="2"/>
    <n v="29"/>
    <x v="1"/>
    <s v="Recovered"/>
    <x v="1"/>
    <x v="1"/>
    <n v="8000"/>
    <x v="0"/>
    <x v="2"/>
    <x v="2"/>
  </r>
  <r>
    <x v="376"/>
    <n v="45"/>
    <x v="1"/>
    <x v="7"/>
    <x v="7"/>
    <x v="334"/>
    <x v="84"/>
    <x v="19"/>
    <x v="1"/>
    <n v="31"/>
    <x v="0"/>
    <s v="Recovered"/>
    <x v="0"/>
    <x v="1"/>
    <n v="3000"/>
    <x v="0"/>
    <x v="3"/>
    <x v="1"/>
  </r>
  <r>
    <x v="377"/>
    <n v="75"/>
    <x v="0"/>
    <x v="8"/>
    <x v="8"/>
    <x v="335"/>
    <x v="331"/>
    <x v="14"/>
    <x v="0"/>
    <n v="33"/>
    <x v="1"/>
    <s v="Stable"/>
    <x v="3"/>
    <x v="1"/>
    <n v="18000"/>
    <x v="2"/>
    <x v="3"/>
    <x v="2"/>
  </r>
  <r>
    <x v="378"/>
    <n v="28"/>
    <x v="1"/>
    <x v="9"/>
    <x v="9"/>
    <x v="274"/>
    <x v="332"/>
    <x v="0"/>
    <x v="2"/>
    <n v="26"/>
    <x v="0"/>
    <s v="Recovered"/>
    <x v="2"/>
    <x v="0"/>
    <n v="100"/>
    <x v="1"/>
    <x v="2"/>
    <x v="2"/>
  </r>
  <r>
    <x v="379"/>
    <n v="52"/>
    <x v="0"/>
    <x v="10"/>
    <x v="10"/>
    <x v="336"/>
    <x v="29"/>
    <x v="8"/>
    <x v="1"/>
    <n v="27"/>
    <x v="0"/>
    <s v="Stable"/>
    <x v="0"/>
    <x v="1"/>
    <n v="800"/>
    <x v="0"/>
    <x v="2"/>
    <x v="1"/>
  </r>
  <r>
    <x v="380"/>
    <n v="67"/>
    <x v="1"/>
    <x v="11"/>
    <x v="11"/>
    <x v="337"/>
    <x v="333"/>
    <x v="8"/>
    <x v="1"/>
    <n v="34"/>
    <x v="0"/>
    <s v="Recovered"/>
    <x v="1"/>
    <x v="1"/>
    <n v="20000"/>
    <x v="2"/>
    <x v="3"/>
    <x v="1"/>
  </r>
  <r>
    <x v="381"/>
    <n v="35"/>
    <x v="0"/>
    <x v="12"/>
    <x v="12"/>
    <x v="338"/>
    <x v="334"/>
    <x v="9"/>
    <x v="1"/>
    <n v="28"/>
    <x v="0"/>
    <s v="Recovered"/>
    <x v="0"/>
    <x v="0"/>
    <n v="12000"/>
    <x v="1"/>
    <x v="2"/>
    <x v="1"/>
  </r>
  <r>
    <x v="382"/>
    <n v="50"/>
    <x v="1"/>
    <x v="13"/>
    <x v="13"/>
    <x v="168"/>
    <x v="279"/>
    <x v="26"/>
    <x v="1"/>
    <n v="29"/>
    <x v="0"/>
    <s v="Recovered"/>
    <x v="1"/>
    <x v="1"/>
    <n v="6000"/>
    <x v="0"/>
    <x v="2"/>
    <x v="1"/>
  </r>
  <r>
    <x v="383"/>
    <n v="60"/>
    <x v="0"/>
    <x v="14"/>
    <x v="14"/>
    <x v="339"/>
    <x v="335"/>
    <x v="10"/>
    <x v="0"/>
    <n v="30"/>
    <x v="0"/>
    <s v="Stable"/>
    <x v="0"/>
    <x v="1"/>
    <n v="4000"/>
    <x v="0"/>
    <x v="2"/>
    <x v="0"/>
  </r>
  <r>
    <x v="384"/>
    <n v="48"/>
    <x v="0"/>
    <x v="0"/>
    <x v="0"/>
    <x v="340"/>
    <x v="336"/>
    <x v="0"/>
    <x v="3"/>
    <n v="31"/>
    <x v="1"/>
    <s v="Recovered"/>
    <x v="0"/>
    <x v="1"/>
    <n v="15000"/>
    <x v="0"/>
    <x v="3"/>
    <x v="3"/>
  </r>
  <r>
    <x v="385"/>
    <n v="65"/>
    <x v="1"/>
    <x v="1"/>
    <x v="1"/>
    <x v="265"/>
    <x v="337"/>
    <x v="0"/>
    <x v="2"/>
    <n v="29"/>
    <x v="0"/>
    <s v="Stable"/>
    <x v="1"/>
    <x v="1"/>
    <n v="2000"/>
    <x v="2"/>
    <x v="2"/>
    <x v="2"/>
  </r>
  <r>
    <x v="386"/>
    <n v="30"/>
    <x v="0"/>
    <x v="2"/>
    <x v="2"/>
    <x v="288"/>
    <x v="170"/>
    <x v="19"/>
    <x v="1"/>
    <n v="27"/>
    <x v="0"/>
    <s v="Recovered"/>
    <x v="2"/>
    <x v="1"/>
    <n v="500"/>
    <x v="1"/>
    <x v="2"/>
    <x v="1"/>
  </r>
  <r>
    <x v="387"/>
    <n v="70"/>
    <x v="1"/>
    <x v="3"/>
    <x v="3"/>
    <x v="341"/>
    <x v="338"/>
    <x v="3"/>
    <x v="1"/>
    <n v="34"/>
    <x v="1"/>
    <s v="Stable"/>
    <x v="3"/>
    <x v="1"/>
    <n v="10000"/>
    <x v="2"/>
    <x v="3"/>
    <x v="1"/>
  </r>
  <r>
    <x v="388"/>
    <n v="55"/>
    <x v="0"/>
    <x v="4"/>
    <x v="4"/>
    <x v="19"/>
    <x v="339"/>
    <x v="16"/>
    <x v="0"/>
    <n v="36"/>
    <x v="0"/>
    <s v="Recovered"/>
    <x v="0"/>
    <x v="0"/>
    <n v="25000"/>
    <x v="0"/>
    <x v="3"/>
    <x v="0"/>
  </r>
  <r>
    <x v="389"/>
    <n v="68"/>
    <x v="1"/>
    <x v="5"/>
    <x v="5"/>
    <x v="342"/>
    <x v="340"/>
    <x v="5"/>
    <x v="3"/>
    <n v="28"/>
    <x v="0"/>
    <s v="Stable"/>
    <x v="0"/>
    <x v="1"/>
    <n v="1000"/>
    <x v="2"/>
    <x v="2"/>
    <x v="3"/>
  </r>
  <r>
    <x v="390"/>
    <n v="45"/>
    <x v="0"/>
    <x v="6"/>
    <x v="6"/>
    <x v="343"/>
    <x v="341"/>
    <x v="21"/>
    <x v="3"/>
    <n v="30"/>
    <x v="0"/>
    <s v="Recovered"/>
    <x v="1"/>
    <x v="1"/>
    <n v="8000"/>
    <x v="0"/>
    <x v="2"/>
    <x v="3"/>
  </r>
  <r>
    <x v="391"/>
    <n v="40"/>
    <x v="1"/>
    <x v="7"/>
    <x v="7"/>
    <x v="344"/>
    <x v="342"/>
    <x v="7"/>
    <x v="3"/>
    <n v="32"/>
    <x v="0"/>
    <s v="Recovered"/>
    <x v="0"/>
    <x v="1"/>
    <n v="3000"/>
    <x v="0"/>
    <x v="3"/>
    <x v="3"/>
  </r>
  <r>
    <x v="392"/>
    <n v="78"/>
    <x v="0"/>
    <x v="8"/>
    <x v="8"/>
    <x v="289"/>
    <x v="343"/>
    <x v="0"/>
    <x v="1"/>
    <n v="34"/>
    <x v="1"/>
    <s v="Stable"/>
    <x v="3"/>
    <x v="1"/>
    <n v="18000"/>
    <x v="2"/>
    <x v="3"/>
    <x v="1"/>
  </r>
  <r>
    <x v="393"/>
    <n v="25"/>
    <x v="1"/>
    <x v="9"/>
    <x v="9"/>
    <x v="345"/>
    <x v="217"/>
    <x v="23"/>
    <x v="2"/>
    <n v="27"/>
    <x v="0"/>
    <s v="Recovered"/>
    <x v="2"/>
    <x v="1"/>
    <n v="100"/>
    <x v="1"/>
    <x v="2"/>
    <x v="2"/>
  </r>
  <r>
    <x v="394"/>
    <n v="52"/>
    <x v="0"/>
    <x v="10"/>
    <x v="10"/>
    <x v="346"/>
    <x v="344"/>
    <x v="13"/>
    <x v="3"/>
    <n v="28"/>
    <x v="0"/>
    <s v="Stable"/>
    <x v="0"/>
    <x v="0"/>
    <n v="800"/>
    <x v="0"/>
    <x v="2"/>
    <x v="1"/>
  </r>
  <r>
    <x v="395"/>
    <n v="58"/>
    <x v="1"/>
    <x v="11"/>
    <x v="11"/>
    <x v="347"/>
    <x v="345"/>
    <x v="8"/>
    <x v="2"/>
    <n v="35"/>
    <x v="0"/>
    <s v="Recovered"/>
    <x v="1"/>
    <x v="1"/>
    <n v="20000"/>
    <x v="0"/>
    <x v="3"/>
    <x v="2"/>
  </r>
  <r>
    <x v="396"/>
    <n v="32"/>
    <x v="0"/>
    <x v="12"/>
    <x v="12"/>
    <x v="348"/>
    <x v="346"/>
    <x v="17"/>
    <x v="0"/>
    <n v="29"/>
    <x v="0"/>
    <s v="Recovered"/>
    <x v="0"/>
    <x v="1"/>
    <n v="12000"/>
    <x v="1"/>
    <x v="2"/>
    <x v="0"/>
  </r>
  <r>
    <x v="397"/>
    <n v="55"/>
    <x v="1"/>
    <x v="13"/>
    <x v="13"/>
    <x v="349"/>
    <x v="347"/>
    <x v="8"/>
    <x v="0"/>
    <n v="30"/>
    <x v="0"/>
    <s v="Recovered"/>
    <x v="1"/>
    <x v="1"/>
    <n v="6000"/>
    <x v="0"/>
    <x v="2"/>
    <x v="0"/>
  </r>
  <r>
    <x v="398"/>
    <n v="65"/>
    <x v="0"/>
    <x v="14"/>
    <x v="14"/>
    <x v="350"/>
    <x v="348"/>
    <x v="24"/>
    <x v="2"/>
    <n v="31"/>
    <x v="0"/>
    <s v="Stable"/>
    <x v="0"/>
    <x v="1"/>
    <n v="4000"/>
    <x v="2"/>
    <x v="3"/>
    <x v="2"/>
  </r>
  <r>
    <x v="399"/>
    <n v="55"/>
    <x v="0"/>
    <x v="0"/>
    <x v="0"/>
    <x v="351"/>
    <x v="349"/>
    <x v="18"/>
    <x v="0"/>
    <n v="32"/>
    <x v="1"/>
    <s v="Recovered"/>
    <x v="1"/>
    <x v="1"/>
    <n v="15000"/>
    <x v="0"/>
    <x v="3"/>
    <x v="0"/>
  </r>
  <r>
    <x v="400"/>
    <n v="62"/>
    <x v="1"/>
    <x v="1"/>
    <x v="1"/>
    <x v="349"/>
    <x v="347"/>
    <x v="0"/>
    <x v="0"/>
    <n v="30"/>
    <x v="0"/>
    <s v="Stable"/>
    <x v="0"/>
    <x v="1"/>
    <n v="2000"/>
    <x v="2"/>
    <x v="2"/>
    <x v="0"/>
  </r>
  <r>
    <x v="401"/>
    <n v="35"/>
    <x v="0"/>
    <x v="2"/>
    <x v="2"/>
    <x v="352"/>
    <x v="350"/>
    <x v="2"/>
    <x v="0"/>
    <n v="28"/>
    <x v="1"/>
    <s v="Recovered"/>
    <x v="2"/>
    <x v="1"/>
    <n v="500"/>
    <x v="1"/>
    <x v="2"/>
    <x v="0"/>
  </r>
  <r>
    <x v="402"/>
    <n v="78"/>
    <x v="1"/>
    <x v="3"/>
    <x v="3"/>
    <x v="68"/>
    <x v="351"/>
    <x v="3"/>
    <x v="0"/>
    <n v="35"/>
    <x v="0"/>
    <s v="Stable"/>
    <x v="3"/>
    <x v="1"/>
    <n v="10000"/>
    <x v="2"/>
    <x v="3"/>
    <x v="0"/>
  </r>
  <r>
    <x v="403"/>
    <n v="53"/>
    <x v="0"/>
    <x v="4"/>
    <x v="4"/>
    <x v="353"/>
    <x v="352"/>
    <x v="4"/>
    <x v="0"/>
    <n v="37"/>
    <x v="1"/>
    <s v="Recovered"/>
    <x v="0"/>
    <x v="0"/>
    <n v="25000"/>
    <x v="0"/>
    <x v="3"/>
    <x v="0"/>
  </r>
  <r>
    <x v="404"/>
    <n v="72"/>
    <x v="1"/>
    <x v="5"/>
    <x v="5"/>
    <x v="354"/>
    <x v="353"/>
    <x v="1"/>
    <x v="0"/>
    <n v="29"/>
    <x v="0"/>
    <s v="Stable"/>
    <x v="0"/>
    <x v="1"/>
    <n v="1000"/>
    <x v="2"/>
    <x v="2"/>
    <x v="0"/>
  </r>
  <r>
    <x v="405"/>
    <n v="60"/>
    <x v="0"/>
    <x v="6"/>
    <x v="6"/>
    <x v="355"/>
    <x v="354"/>
    <x v="22"/>
    <x v="2"/>
    <n v="31"/>
    <x v="1"/>
    <s v="Recovered"/>
    <x v="1"/>
    <x v="1"/>
    <n v="8000"/>
    <x v="0"/>
    <x v="3"/>
    <x v="2"/>
  </r>
  <r>
    <x v="406"/>
    <n v="45"/>
    <x v="1"/>
    <x v="7"/>
    <x v="7"/>
    <x v="356"/>
    <x v="295"/>
    <x v="20"/>
    <x v="3"/>
    <n v="33"/>
    <x v="0"/>
    <s v="Recovered"/>
    <x v="0"/>
    <x v="0"/>
    <n v="3000"/>
    <x v="0"/>
    <x v="3"/>
    <x v="3"/>
  </r>
  <r>
    <x v="407"/>
    <n v="75"/>
    <x v="0"/>
    <x v="8"/>
    <x v="8"/>
    <x v="357"/>
    <x v="121"/>
    <x v="14"/>
    <x v="1"/>
    <n v="35"/>
    <x v="1"/>
    <s v="Stable"/>
    <x v="3"/>
    <x v="0"/>
    <n v="18000"/>
    <x v="2"/>
    <x v="3"/>
    <x v="1"/>
  </r>
  <r>
    <x v="408"/>
    <n v="28"/>
    <x v="1"/>
    <x v="9"/>
    <x v="9"/>
    <x v="358"/>
    <x v="355"/>
    <x v="23"/>
    <x v="1"/>
    <n v="28"/>
    <x v="0"/>
    <s v="Recovered"/>
    <x v="2"/>
    <x v="1"/>
    <n v="100"/>
    <x v="1"/>
    <x v="2"/>
    <x v="1"/>
  </r>
  <r>
    <x v="409"/>
    <n v="52"/>
    <x v="0"/>
    <x v="10"/>
    <x v="10"/>
    <x v="359"/>
    <x v="89"/>
    <x v="8"/>
    <x v="3"/>
    <n v="29"/>
    <x v="0"/>
    <s v="Stable"/>
    <x v="0"/>
    <x v="0"/>
    <n v="800"/>
    <x v="0"/>
    <x v="2"/>
    <x v="3"/>
  </r>
  <r>
    <x v="410"/>
    <n v="35"/>
    <x v="0"/>
    <x v="12"/>
    <x v="12"/>
    <x v="360"/>
    <x v="138"/>
    <x v="25"/>
    <x v="3"/>
    <n v="30"/>
    <x v="0"/>
    <s v="Recovered"/>
    <x v="0"/>
    <x v="0"/>
    <n v="12000"/>
    <x v="1"/>
    <x v="2"/>
    <x v="3"/>
  </r>
  <r>
    <x v="411"/>
    <n v="50"/>
    <x v="1"/>
    <x v="13"/>
    <x v="13"/>
    <x v="361"/>
    <x v="356"/>
    <x v="8"/>
    <x v="0"/>
    <n v="31"/>
    <x v="0"/>
    <s v="Recovered"/>
    <x v="1"/>
    <x v="1"/>
    <n v="6000"/>
    <x v="0"/>
    <x v="3"/>
    <x v="0"/>
  </r>
  <r>
    <x v="412"/>
    <n v="60"/>
    <x v="0"/>
    <x v="14"/>
    <x v="14"/>
    <x v="190"/>
    <x v="357"/>
    <x v="10"/>
    <x v="1"/>
    <n v="32"/>
    <x v="0"/>
    <s v="Stable"/>
    <x v="0"/>
    <x v="1"/>
    <n v="4000"/>
    <x v="0"/>
    <x v="3"/>
    <x v="1"/>
  </r>
  <r>
    <x v="413"/>
    <n v="48"/>
    <x v="0"/>
    <x v="0"/>
    <x v="0"/>
    <x v="362"/>
    <x v="358"/>
    <x v="18"/>
    <x v="1"/>
    <n v="33"/>
    <x v="1"/>
    <s v="Recovered"/>
    <x v="0"/>
    <x v="1"/>
    <n v="15000"/>
    <x v="0"/>
    <x v="3"/>
    <x v="0"/>
  </r>
  <r>
    <x v="414"/>
    <n v="65"/>
    <x v="1"/>
    <x v="1"/>
    <x v="1"/>
    <x v="320"/>
    <x v="359"/>
    <x v="20"/>
    <x v="0"/>
    <n v="31"/>
    <x v="0"/>
    <s v="Stable"/>
    <x v="1"/>
    <x v="0"/>
    <n v="2000"/>
    <x v="2"/>
    <x v="3"/>
    <x v="0"/>
  </r>
  <r>
    <x v="415"/>
    <n v="30"/>
    <x v="0"/>
    <x v="2"/>
    <x v="2"/>
    <x v="363"/>
    <x v="360"/>
    <x v="2"/>
    <x v="0"/>
    <n v="29"/>
    <x v="0"/>
    <s v="Recovered"/>
    <x v="2"/>
    <x v="0"/>
    <n v="500"/>
    <x v="1"/>
    <x v="2"/>
    <x v="0"/>
  </r>
  <r>
    <x v="416"/>
    <n v="70"/>
    <x v="1"/>
    <x v="3"/>
    <x v="3"/>
    <x v="87"/>
    <x v="330"/>
    <x v="12"/>
    <x v="2"/>
    <n v="36"/>
    <x v="1"/>
    <s v="Stable"/>
    <x v="3"/>
    <x v="0"/>
    <n v="10000"/>
    <x v="2"/>
    <x v="3"/>
    <x v="4"/>
  </r>
  <r>
    <x v="417"/>
    <n v="55"/>
    <x v="0"/>
    <x v="4"/>
    <x v="4"/>
    <x v="145"/>
    <x v="190"/>
    <x v="16"/>
    <x v="1"/>
    <n v="38"/>
    <x v="0"/>
    <s v="Recovered"/>
    <x v="0"/>
    <x v="0"/>
    <n v="25000"/>
    <x v="0"/>
    <x v="3"/>
    <x v="1"/>
  </r>
  <r>
    <x v="418"/>
    <n v="68"/>
    <x v="1"/>
    <x v="5"/>
    <x v="5"/>
    <x v="364"/>
    <x v="361"/>
    <x v="5"/>
    <x v="1"/>
    <n v="30"/>
    <x v="0"/>
    <s v="Stable"/>
    <x v="0"/>
    <x v="0"/>
    <n v="1000"/>
    <x v="2"/>
    <x v="2"/>
    <x v="1"/>
  </r>
  <r>
    <x v="419"/>
    <n v="45"/>
    <x v="0"/>
    <x v="6"/>
    <x v="6"/>
    <x v="365"/>
    <x v="362"/>
    <x v="6"/>
    <x v="3"/>
    <n v="32"/>
    <x v="0"/>
    <s v="Recovered"/>
    <x v="1"/>
    <x v="1"/>
    <n v="8000"/>
    <x v="0"/>
    <x v="3"/>
    <x v="3"/>
  </r>
  <r>
    <x v="420"/>
    <n v="40"/>
    <x v="1"/>
    <x v="7"/>
    <x v="7"/>
    <x v="366"/>
    <x v="363"/>
    <x v="7"/>
    <x v="1"/>
    <n v="34"/>
    <x v="0"/>
    <s v="Recovered"/>
    <x v="0"/>
    <x v="1"/>
    <n v="3000"/>
    <x v="0"/>
    <x v="3"/>
    <x v="1"/>
  </r>
  <r>
    <x v="421"/>
    <n v="78"/>
    <x v="0"/>
    <x v="8"/>
    <x v="8"/>
    <x v="367"/>
    <x v="202"/>
    <x v="0"/>
    <x v="3"/>
    <n v="36"/>
    <x v="1"/>
    <s v="Stable"/>
    <x v="3"/>
    <x v="0"/>
    <n v="18000"/>
    <x v="2"/>
    <x v="3"/>
    <x v="3"/>
  </r>
  <r>
    <x v="422"/>
    <n v="25"/>
    <x v="1"/>
    <x v="9"/>
    <x v="9"/>
    <x v="368"/>
    <x v="231"/>
    <x v="2"/>
    <x v="3"/>
    <n v="29"/>
    <x v="0"/>
    <s v="Recovered"/>
    <x v="2"/>
    <x v="1"/>
    <n v="100"/>
    <x v="1"/>
    <x v="2"/>
    <x v="3"/>
  </r>
  <r>
    <x v="423"/>
    <n v="52"/>
    <x v="0"/>
    <x v="10"/>
    <x v="10"/>
    <x v="137"/>
    <x v="260"/>
    <x v="13"/>
    <x v="2"/>
    <n v="30"/>
    <x v="0"/>
    <s v="Stable"/>
    <x v="0"/>
    <x v="1"/>
    <n v="800"/>
    <x v="0"/>
    <x v="2"/>
    <x v="2"/>
  </r>
  <r>
    <x v="424"/>
    <n v="58"/>
    <x v="1"/>
    <x v="11"/>
    <x v="11"/>
    <x v="369"/>
    <x v="364"/>
    <x v="8"/>
    <x v="1"/>
    <n v="37"/>
    <x v="0"/>
    <s v="Recovered"/>
    <x v="1"/>
    <x v="1"/>
    <n v="20000"/>
    <x v="0"/>
    <x v="3"/>
    <x v="0"/>
  </r>
  <r>
    <x v="425"/>
    <n v="32"/>
    <x v="0"/>
    <x v="12"/>
    <x v="12"/>
    <x v="370"/>
    <x v="365"/>
    <x v="23"/>
    <x v="2"/>
    <n v="31"/>
    <x v="0"/>
    <s v="Recovered"/>
    <x v="0"/>
    <x v="0"/>
    <n v="12000"/>
    <x v="1"/>
    <x v="3"/>
    <x v="2"/>
  </r>
  <r>
    <x v="426"/>
    <n v="55"/>
    <x v="1"/>
    <x v="13"/>
    <x v="13"/>
    <x v="371"/>
    <x v="366"/>
    <x v="7"/>
    <x v="2"/>
    <n v="32"/>
    <x v="0"/>
    <s v="Recovered"/>
    <x v="1"/>
    <x v="1"/>
    <n v="6000"/>
    <x v="0"/>
    <x v="3"/>
    <x v="2"/>
  </r>
  <r>
    <x v="427"/>
    <n v="65"/>
    <x v="0"/>
    <x v="14"/>
    <x v="14"/>
    <x v="372"/>
    <x v="350"/>
    <x v="22"/>
    <x v="0"/>
    <n v="33"/>
    <x v="0"/>
    <s v="Stable"/>
    <x v="0"/>
    <x v="1"/>
    <n v="4000"/>
    <x v="2"/>
    <x v="3"/>
    <x v="0"/>
  </r>
  <r>
    <x v="428"/>
    <n v="55"/>
    <x v="0"/>
    <x v="0"/>
    <x v="0"/>
    <x v="373"/>
    <x v="367"/>
    <x v="0"/>
    <x v="3"/>
    <n v="34"/>
    <x v="1"/>
    <s v="Recovered"/>
    <x v="1"/>
    <x v="1"/>
    <n v="15000"/>
    <x v="0"/>
    <x v="3"/>
    <x v="3"/>
  </r>
  <r>
    <x v="429"/>
    <n v="62"/>
    <x v="1"/>
    <x v="1"/>
    <x v="1"/>
    <x v="310"/>
    <x v="311"/>
    <x v="1"/>
    <x v="2"/>
    <n v="32"/>
    <x v="0"/>
    <s v="Stable"/>
    <x v="0"/>
    <x v="1"/>
    <n v="2000"/>
    <x v="2"/>
    <x v="3"/>
    <x v="2"/>
  </r>
  <r>
    <x v="430"/>
    <n v="35"/>
    <x v="0"/>
    <x v="2"/>
    <x v="2"/>
    <x v="36"/>
    <x v="368"/>
    <x v="2"/>
    <x v="0"/>
    <n v="30"/>
    <x v="1"/>
    <s v="Recovered"/>
    <x v="2"/>
    <x v="0"/>
    <n v="500"/>
    <x v="1"/>
    <x v="2"/>
    <x v="0"/>
  </r>
  <r>
    <x v="431"/>
    <n v="78"/>
    <x v="1"/>
    <x v="3"/>
    <x v="3"/>
    <x v="374"/>
    <x v="369"/>
    <x v="3"/>
    <x v="0"/>
    <n v="37"/>
    <x v="0"/>
    <s v="Stable"/>
    <x v="3"/>
    <x v="1"/>
    <n v="10000"/>
    <x v="2"/>
    <x v="3"/>
    <x v="0"/>
  </r>
  <r>
    <x v="432"/>
    <n v="53"/>
    <x v="0"/>
    <x v="4"/>
    <x v="4"/>
    <x v="219"/>
    <x v="370"/>
    <x v="18"/>
    <x v="0"/>
    <n v="39"/>
    <x v="1"/>
    <s v="Recovered"/>
    <x v="0"/>
    <x v="1"/>
    <n v="25000"/>
    <x v="0"/>
    <x v="3"/>
    <x v="0"/>
  </r>
  <r>
    <x v="433"/>
    <n v="72"/>
    <x v="1"/>
    <x v="5"/>
    <x v="5"/>
    <x v="375"/>
    <x v="345"/>
    <x v="5"/>
    <x v="2"/>
    <n v="31"/>
    <x v="0"/>
    <s v="Stable"/>
    <x v="0"/>
    <x v="0"/>
    <n v="1000"/>
    <x v="2"/>
    <x v="3"/>
    <x v="2"/>
  </r>
  <r>
    <x v="434"/>
    <n v="60"/>
    <x v="0"/>
    <x v="6"/>
    <x v="6"/>
    <x v="376"/>
    <x v="371"/>
    <x v="0"/>
    <x v="2"/>
    <n v="33"/>
    <x v="1"/>
    <s v="Recovered"/>
    <x v="1"/>
    <x v="1"/>
    <n v="8000"/>
    <x v="0"/>
    <x v="3"/>
    <x v="2"/>
  </r>
  <r>
    <x v="435"/>
    <n v="45"/>
    <x v="1"/>
    <x v="7"/>
    <x v="7"/>
    <x v="377"/>
    <x v="67"/>
    <x v="19"/>
    <x v="0"/>
    <n v="35"/>
    <x v="0"/>
    <s v="Recovered"/>
    <x v="0"/>
    <x v="1"/>
    <n v="3000"/>
    <x v="0"/>
    <x v="3"/>
    <x v="0"/>
  </r>
  <r>
    <x v="436"/>
    <n v="75"/>
    <x v="0"/>
    <x v="8"/>
    <x v="8"/>
    <x v="378"/>
    <x v="146"/>
    <x v="0"/>
    <x v="2"/>
    <n v="37"/>
    <x v="1"/>
    <s v="Stable"/>
    <x v="3"/>
    <x v="0"/>
    <n v="18000"/>
    <x v="2"/>
    <x v="3"/>
    <x v="2"/>
  </r>
  <r>
    <x v="437"/>
    <n v="28"/>
    <x v="1"/>
    <x v="9"/>
    <x v="9"/>
    <x v="379"/>
    <x v="372"/>
    <x v="23"/>
    <x v="1"/>
    <n v="30"/>
    <x v="0"/>
    <s v="Recovered"/>
    <x v="2"/>
    <x v="1"/>
    <n v="100"/>
    <x v="1"/>
    <x v="2"/>
    <x v="1"/>
  </r>
  <r>
    <x v="438"/>
    <n v="52"/>
    <x v="0"/>
    <x v="10"/>
    <x v="10"/>
    <x v="380"/>
    <x v="373"/>
    <x v="13"/>
    <x v="1"/>
    <n v="31"/>
    <x v="0"/>
    <s v="Stable"/>
    <x v="0"/>
    <x v="1"/>
    <n v="800"/>
    <x v="0"/>
    <x v="3"/>
    <x v="1"/>
  </r>
  <r>
    <x v="439"/>
    <n v="67"/>
    <x v="1"/>
    <x v="11"/>
    <x v="11"/>
    <x v="381"/>
    <x v="374"/>
    <x v="8"/>
    <x v="2"/>
    <n v="38"/>
    <x v="0"/>
    <s v="Recovered"/>
    <x v="1"/>
    <x v="1"/>
    <n v="20000"/>
    <x v="2"/>
    <x v="3"/>
    <x v="2"/>
  </r>
  <r>
    <x v="440"/>
    <n v="35"/>
    <x v="0"/>
    <x v="12"/>
    <x v="12"/>
    <x v="382"/>
    <x v="50"/>
    <x v="27"/>
    <x v="0"/>
    <n v="32"/>
    <x v="0"/>
    <s v="Recovered"/>
    <x v="0"/>
    <x v="1"/>
    <n v="12000"/>
    <x v="1"/>
    <x v="3"/>
    <x v="0"/>
  </r>
  <r>
    <x v="441"/>
    <n v="50"/>
    <x v="1"/>
    <x v="13"/>
    <x v="13"/>
    <x v="383"/>
    <x v="249"/>
    <x v="26"/>
    <x v="0"/>
    <n v="33"/>
    <x v="0"/>
    <s v="Recovered"/>
    <x v="1"/>
    <x v="1"/>
    <n v="6000"/>
    <x v="0"/>
    <x v="3"/>
    <x v="0"/>
  </r>
  <r>
    <x v="442"/>
    <n v="60"/>
    <x v="0"/>
    <x v="14"/>
    <x v="14"/>
    <x v="384"/>
    <x v="375"/>
    <x v="22"/>
    <x v="3"/>
    <n v="34"/>
    <x v="0"/>
    <s v="Stable"/>
    <x v="0"/>
    <x v="1"/>
    <n v="4000"/>
    <x v="0"/>
    <x v="3"/>
    <x v="3"/>
  </r>
  <r>
    <x v="443"/>
    <n v="48"/>
    <x v="0"/>
    <x v="0"/>
    <x v="0"/>
    <x v="385"/>
    <x v="376"/>
    <x v="22"/>
    <x v="3"/>
    <n v="35"/>
    <x v="1"/>
    <s v="Recovered"/>
    <x v="0"/>
    <x v="1"/>
    <n v="15000"/>
    <x v="0"/>
    <x v="3"/>
    <x v="3"/>
  </r>
  <r>
    <x v="444"/>
    <n v="65"/>
    <x v="1"/>
    <x v="1"/>
    <x v="1"/>
    <x v="386"/>
    <x v="4"/>
    <x v="20"/>
    <x v="3"/>
    <n v="33"/>
    <x v="0"/>
    <s v="Stable"/>
    <x v="1"/>
    <x v="0"/>
    <n v="2000"/>
    <x v="2"/>
    <x v="3"/>
    <x v="3"/>
  </r>
  <r>
    <x v="445"/>
    <n v="30"/>
    <x v="0"/>
    <x v="2"/>
    <x v="2"/>
    <x v="387"/>
    <x v="377"/>
    <x v="19"/>
    <x v="3"/>
    <n v="31"/>
    <x v="0"/>
    <s v="Recovered"/>
    <x v="2"/>
    <x v="0"/>
    <n v="500"/>
    <x v="1"/>
    <x v="3"/>
    <x v="3"/>
  </r>
  <r>
    <x v="446"/>
    <n v="70"/>
    <x v="1"/>
    <x v="3"/>
    <x v="3"/>
    <x v="331"/>
    <x v="378"/>
    <x v="4"/>
    <x v="1"/>
    <n v="38"/>
    <x v="1"/>
    <s v="Stable"/>
    <x v="3"/>
    <x v="1"/>
    <n v="10000"/>
    <x v="2"/>
    <x v="3"/>
    <x v="1"/>
  </r>
  <r>
    <x v="447"/>
    <n v="55"/>
    <x v="0"/>
    <x v="4"/>
    <x v="4"/>
    <x v="388"/>
    <x v="151"/>
    <x v="4"/>
    <x v="1"/>
    <n v="40"/>
    <x v="0"/>
    <s v="Recovered"/>
    <x v="0"/>
    <x v="1"/>
    <n v="25000"/>
    <x v="0"/>
    <x v="3"/>
    <x v="1"/>
  </r>
  <r>
    <x v="448"/>
    <n v="68"/>
    <x v="1"/>
    <x v="5"/>
    <x v="5"/>
    <x v="389"/>
    <x v="379"/>
    <x v="5"/>
    <x v="3"/>
    <n v="32"/>
    <x v="0"/>
    <s v="Stable"/>
    <x v="0"/>
    <x v="0"/>
    <n v="1000"/>
    <x v="2"/>
    <x v="3"/>
    <x v="3"/>
  </r>
  <r>
    <x v="449"/>
    <n v="45"/>
    <x v="0"/>
    <x v="6"/>
    <x v="6"/>
    <x v="340"/>
    <x v="380"/>
    <x v="6"/>
    <x v="3"/>
    <n v="34"/>
    <x v="0"/>
    <s v="Recovered"/>
    <x v="1"/>
    <x v="1"/>
    <n v="8000"/>
    <x v="0"/>
    <x v="3"/>
    <x v="3"/>
  </r>
  <r>
    <x v="450"/>
    <n v="40"/>
    <x v="1"/>
    <x v="7"/>
    <x v="7"/>
    <x v="390"/>
    <x v="332"/>
    <x v="20"/>
    <x v="2"/>
    <n v="36"/>
    <x v="0"/>
    <s v="Recovered"/>
    <x v="0"/>
    <x v="1"/>
    <n v="3000"/>
    <x v="0"/>
    <x v="3"/>
    <x v="2"/>
  </r>
  <r>
    <x v="451"/>
    <n v="78"/>
    <x v="0"/>
    <x v="8"/>
    <x v="8"/>
    <x v="391"/>
    <x v="381"/>
    <x v="0"/>
    <x v="0"/>
    <n v="38"/>
    <x v="1"/>
    <s v="Stable"/>
    <x v="3"/>
    <x v="1"/>
    <n v="18000"/>
    <x v="2"/>
    <x v="3"/>
    <x v="0"/>
  </r>
  <r>
    <x v="452"/>
    <n v="25"/>
    <x v="1"/>
    <x v="9"/>
    <x v="9"/>
    <x v="392"/>
    <x v="382"/>
    <x v="0"/>
    <x v="0"/>
    <n v="31"/>
    <x v="0"/>
    <s v="Recovered"/>
    <x v="2"/>
    <x v="0"/>
    <n v="100"/>
    <x v="1"/>
    <x v="3"/>
    <x v="0"/>
  </r>
  <r>
    <x v="453"/>
    <n v="52"/>
    <x v="0"/>
    <x v="10"/>
    <x v="10"/>
    <x v="99"/>
    <x v="383"/>
    <x v="8"/>
    <x v="0"/>
    <n v="32"/>
    <x v="0"/>
    <s v="Stable"/>
    <x v="0"/>
    <x v="1"/>
    <n v="800"/>
    <x v="0"/>
    <x v="3"/>
    <x v="0"/>
  </r>
  <r>
    <x v="454"/>
    <n v="58"/>
    <x v="1"/>
    <x v="11"/>
    <x v="11"/>
    <x v="393"/>
    <x v="228"/>
    <x v="0"/>
    <x v="3"/>
    <n v="39"/>
    <x v="0"/>
    <s v="Recovered"/>
    <x v="1"/>
    <x v="0"/>
    <n v="20000"/>
    <x v="0"/>
    <x v="3"/>
    <x v="3"/>
  </r>
  <r>
    <x v="455"/>
    <n v="32"/>
    <x v="0"/>
    <x v="12"/>
    <x v="12"/>
    <x v="346"/>
    <x v="325"/>
    <x v="24"/>
    <x v="3"/>
    <n v="33"/>
    <x v="0"/>
    <s v="Recovered"/>
    <x v="0"/>
    <x v="1"/>
    <n v="12000"/>
    <x v="1"/>
    <x v="3"/>
    <x v="1"/>
  </r>
  <r>
    <x v="456"/>
    <n v="55"/>
    <x v="1"/>
    <x v="13"/>
    <x v="13"/>
    <x v="394"/>
    <x v="384"/>
    <x v="26"/>
    <x v="1"/>
    <n v="34"/>
    <x v="0"/>
    <s v="Recovered"/>
    <x v="1"/>
    <x v="1"/>
    <n v="6000"/>
    <x v="0"/>
    <x v="3"/>
    <x v="1"/>
  </r>
  <r>
    <x v="457"/>
    <n v="65"/>
    <x v="0"/>
    <x v="14"/>
    <x v="14"/>
    <x v="395"/>
    <x v="385"/>
    <x v="22"/>
    <x v="2"/>
    <n v="35"/>
    <x v="0"/>
    <s v="Stable"/>
    <x v="0"/>
    <x v="1"/>
    <n v="4000"/>
    <x v="2"/>
    <x v="3"/>
    <x v="2"/>
  </r>
  <r>
    <x v="458"/>
    <n v="55"/>
    <x v="0"/>
    <x v="0"/>
    <x v="0"/>
    <x v="396"/>
    <x v="386"/>
    <x v="0"/>
    <x v="2"/>
    <n v="36"/>
    <x v="1"/>
    <s v="Recovered"/>
    <x v="1"/>
    <x v="1"/>
    <n v="15000"/>
    <x v="0"/>
    <x v="3"/>
    <x v="2"/>
  </r>
  <r>
    <x v="459"/>
    <n v="62"/>
    <x v="1"/>
    <x v="1"/>
    <x v="1"/>
    <x v="39"/>
    <x v="387"/>
    <x v="1"/>
    <x v="0"/>
    <n v="34"/>
    <x v="0"/>
    <s v="Stable"/>
    <x v="0"/>
    <x v="1"/>
    <n v="2000"/>
    <x v="2"/>
    <x v="3"/>
    <x v="0"/>
  </r>
  <r>
    <x v="460"/>
    <n v="35"/>
    <x v="0"/>
    <x v="2"/>
    <x v="2"/>
    <x v="397"/>
    <x v="388"/>
    <x v="19"/>
    <x v="1"/>
    <n v="32"/>
    <x v="1"/>
    <s v="Recovered"/>
    <x v="2"/>
    <x v="1"/>
    <n v="500"/>
    <x v="1"/>
    <x v="3"/>
    <x v="1"/>
  </r>
  <r>
    <x v="461"/>
    <n v="78"/>
    <x v="1"/>
    <x v="3"/>
    <x v="3"/>
    <x v="398"/>
    <x v="389"/>
    <x v="12"/>
    <x v="1"/>
    <n v="39"/>
    <x v="0"/>
    <s v="Stable"/>
    <x v="3"/>
    <x v="0"/>
    <n v="10000"/>
    <x v="2"/>
    <x v="3"/>
    <x v="1"/>
  </r>
  <r>
    <x v="462"/>
    <n v="53"/>
    <x v="0"/>
    <x v="4"/>
    <x v="4"/>
    <x v="122"/>
    <x v="390"/>
    <x v="13"/>
    <x v="3"/>
    <n v="41"/>
    <x v="1"/>
    <s v="Recovered"/>
    <x v="0"/>
    <x v="1"/>
    <n v="25000"/>
    <x v="0"/>
    <x v="3"/>
    <x v="3"/>
  </r>
  <r>
    <x v="463"/>
    <n v="72"/>
    <x v="1"/>
    <x v="5"/>
    <x v="5"/>
    <x v="399"/>
    <x v="391"/>
    <x v="5"/>
    <x v="0"/>
    <n v="33"/>
    <x v="0"/>
    <s v="Stable"/>
    <x v="0"/>
    <x v="1"/>
    <n v="1000"/>
    <x v="2"/>
    <x v="3"/>
    <x v="0"/>
  </r>
  <r>
    <x v="464"/>
    <n v="60"/>
    <x v="0"/>
    <x v="6"/>
    <x v="6"/>
    <x v="400"/>
    <x v="62"/>
    <x v="21"/>
    <x v="0"/>
    <n v="35"/>
    <x v="1"/>
    <s v="Recovered"/>
    <x v="1"/>
    <x v="1"/>
    <n v="8000"/>
    <x v="0"/>
    <x v="3"/>
    <x v="0"/>
  </r>
  <r>
    <x v="465"/>
    <n v="45"/>
    <x v="1"/>
    <x v="7"/>
    <x v="7"/>
    <x v="296"/>
    <x v="392"/>
    <x v="7"/>
    <x v="3"/>
    <n v="37"/>
    <x v="0"/>
    <s v="Recovered"/>
    <x v="0"/>
    <x v="0"/>
    <n v="3000"/>
    <x v="0"/>
    <x v="3"/>
    <x v="3"/>
  </r>
  <r>
    <x v="466"/>
    <n v="75"/>
    <x v="0"/>
    <x v="8"/>
    <x v="8"/>
    <x v="181"/>
    <x v="50"/>
    <x v="14"/>
    <x v="0"/>
    <n v="39"/>
    <x v="1"/>
    <s v="Stable"/>
    <x v="3"/>
    <x v="0"/>
    <n v="18000"/>
    <x v="2"/>
    <x v="3"/>
    <x v="0"/>
  </r>
  <r>
    <x v="467"/>
    <n v="28"/>
    <x v="1"/>
    <x v="9"/>
    <x v="9"/>
    <x v="310"/>
    <x v="311"/>
    <x v="0"/>
    <x v="2"/>
    <n v="32"/>
    <x v="0"/>
    <s v="Recovered"/>
    <x v="2"/>
    <x v="1"/>
    <n v="100"/>
    <x v="1"/>
    <x v="3"/>
    <x v="2"/>
  </r>
  <r>
    <x v="468"/>
    <n v="52"/>
    <x v="0"/>
    <x v="10"/>
    <x v="10"/>
    <x v="401"/>
    <x v="393"/>
    <x v="15"/>
    <x v="3"/>
    <n v="33"/>
    <x v="0"/>
    <s v="Stable"/>
    <x v="0"/>
    <x v="0"/>
    <n v="800"/>
    <x v="0"/>
    <x v="3"/>
    <x v="3"/>
  </r>
  <r>
    <x v="469"/>
    <n v="67"/>
    <x v="1"/>
    <x v="11"/>
    <x v="11"/>
    <x v="91"/>
    <x v="394"/>
    <x v="16"/>
    <x v="3"/>
    <n v="40"/>
    <x v="0"/>
    <s v="Recovered"/>
    <x v="1"/>
    <x v="0"/>
    <n v="20000"/>
    <x v="2"/>
    <x v="3"/>
    <x v="3"/>
  </r>
  <r>
    <x v="470"/>
    <n v="50"/>
    <x v="1"/>
    <x v="13"/>
    <x v="13"/>
    <x v="402"/>
    <x v="395"/>
    <x v="25"/>
    <x v="0"/>
    <n v="35"/>
    <x v="0"/>
    <s v="Recovered"/>
    <x v="1"/>
    <x v="1"/>
    <n v="6000"/>
    <x v="0"/>
    <x v="3"/>
    <x v="0"/>
  </r>
  <r>
    <x v="471"/>
    <n v="60"/>
    <x v="0"/>
    <x v="14"/>
    <x v="14"/>
    <x v="233"/>
    <x v="93"/>
    <x v="10"/>
    <x v="3"/>
    <n v="36"/>
    <x v="0"/>
    <s v="Stable"/>
    <x v="0"/>
    <x v="1"/>
    <n v="4000"/>
    <x v="0"/>
    <x v="3"/>
    <x v="3"/>
  </r>
  <r>
    <x v="472"/>
    <n v="48"/>
    <x v="0"/>
    <x v="0"/>
    <x v="0"/>
    <x v="403"/>
    <x v="396"/>
    <x v="22"/>
    <x v="1"/>
    <n v="37"/>
    <x v="1"/>
    <s v="Recovered"/>
    <x v="0"/>
    <x v="0"/>
    <n v="15000"/>
    <x v="0"/>
    <x v="3"/>
    <x v="1"/>
  </r>
  <r>
    <x v="473"/>
    <n v="65"/>
    <x v="1"/>
    <x v="1"/>
    <x v="1"/>
    <x v="404"/>
    <x v="147"/>
    <x v="0"/>
    <x v="0"/>
    <n v="35"/>
    <x v="0"/>
    <s v="Stable"/>
    <x v="1"/>
    <x v="0"/>
    <n v="2000"/>
    <x v="2"/>
    <x v="3"/>
    <x v="0"/>
  </r>
  <r>
    <x v="474"/>
    <n v="30"/>
    <x v="0"/>
    <x v="2"/>
    <x v="2"/>
    <x v="405"/>
    <x v="397"/>
    <x v="18"/>
    <x v="2"/>
    <n v="33"/>
    <x v="0"/>
    <s v="Recovered"/>
    <x v="2"/>
    <x v="1"/>
    <n v="500"/>
    <x v="1"/>
    <x v="3"/>
    <x v="2"/>
  </r>
  <r>
    <x v="475"/>
    <n v="70"/>
    <x v="1"/>
    <x v="3"/>
    <x v="3"/>
    <x v="406"/>
    <x v="398"/>
    <x v="12"/>
    <x v="0"/>
    <n v="40"/>
    <x v="1"/>
    <s v="Stable"/>
    <x v="3"/>
    <x v="1"/>
    <n v="10000"/>
    <x v="2"/>
    <x v="3"/>
    <x v="0"/>
  </r>
  <r>
    <x v="476"/>
    <n v="55"/>
    <x v="0"/>
    <x v="4"/>
    <x v="4"/>
    <x v="407"/>
    <x v="399"/>
    <x v="16"/>
    <x v="3"/>
    <n v="42"/>
    <x v="0"/>
    <s v="Recovered"/>
    <x v="0"/>
    <x v="0"/>
    <n v="25000"/>
    <x v="0"/>
    <x v="3"/>
    <x v="1"/>
  </r>
  <r>
    <x v="477"/>
    <n v="68"/>
    <x v="1"/>
    <x v="5"/>
    <x v="5"/>
    <x v="408"/>
    <x v="400"/>
    <x v="5"/>
    <x v="3"/>
    <n v="34"/>
    <x v="0"/>
    <s v="Stable"/>
    <x v="0"/>
    <x v="1"/>
    <n v="1000"/>
    <x v="2"/>
    <x v="3"/>
    <x v="3"/>
  </r>
  <r>
    <x v="478"/>
    <n v="45"/>
    <x v="0"/>
    <x v="6"/>
    <x v="6"/>
    <x v="409"/>
    <x v="401"/>
    <x v="6"/>
    <x v="1"/>
    <n v="36"/>
    <x v="0"/>
    <s v="Recovered"/>
    <x v="1"/>
    <x v="1"/>
    <n v="8000"/>
    <x v="0"/>
    <x v="3"/>
    <x v="1"/>
  </r>
  <r>
    <x v="479"/>
    <n v="40"/>
    <x v="1"/>
    <x v="7"/>
    <x v="7"/>
    <x v="200"/>
    <x v="402"/>
    <x v="19"/>
    <x v="0"/>
    <n v="38"/>
    <x v="0"/>
    <s v="Recovered"/>
    <x v="0"/>
    <x v="1"/>
    <n v="3000"/>
    <x v="0"/>
    <x v="3"/>
    <x v="0"/>
  </r>
  <r>
    <x v="480"/>
    <n v="78"/>
    <x v="0"/>
    <x v="8"/>
    <x v="8"/>
    <x v="75"/>
    <x v="403"/>
    <x v="0"/>
    <x v="3"/>
    <n v="40"/>
    <x v="1"/>
    <s v="Stable"/>
    <x v="3"/>
    <x v="0"/>
    <n v="18000"/>
    <x v="2"/>
    <x v="3"/>
    <x v="3"/>
  </r>
  <r>
    <x v="481"/>
    <n v="25"/>
    <x v="1"/>
    <x v="9"/>
    <x v="9"/>
    <x v="410"/>
    <x v="404"/>
    <x v="23"/>
    <x v="2"/>
    <n v="33"/>
    <x v="0"/>
    <s v="Recovered"/>
    <x v="2"/>
    <x v="1"/>
    <n v="100"/>
    <x v="1"/>
    <x v="3"/>
    <x v="2"/>
  </r>
  <r>
    <x v="482"/>
    <n v="52"/>
    <x v="0"/>
    <x v="10"/>
    <x v="10"/>
    <x v="411"/>
    <x v="405"/>
    <x v="8"/>
    <x v="3"/>
    <n v="34"/>
    <x v="0"/>
    <s v="Stable"/>
    <x v="0"/>
    <x v="1"/>
    <n v="800"/>
    <x v="0"/>
    <x v="3"/>
    <x v="3"/>
  </r>
  <r>
    <x v="483"/>
    <n v="58"/>
    <x v="1"/>
    <x v="11"/>
    <x v="11"/>
    <x v="412"/>
    <x v="60"/>
    <x v="8"/>
    <x v="1"/>
    <n v="41"/>
    <x v="0"/>
    <s v="Recovered"/>
    <x v="1"/>
    <x v="1"/>
    <n v="20000"/>
    <x v="0"/>
    <x v="3"/>
    <x v="0"/>
  </r>
  <r>
    <x v="484"/>
    <n v="32"/>
    <x v="0"/>
    <x v="12"/>
    <x v="12"/>
    <x v="413"/>
    <x v="406"/>
    <x v="27"/>
    <x v="1"/>
    <n v="35"/>
    <x v="0"/>
    <s v="Recovered"/>
    <x v="0"/>
    <x v="1"/>
    <n v="12000"/>
    <x v="1"/>
    <x v="3"/>
    <x v="1"/>
  </r>
  <r>
    <x v="485"/>
    <n v="55"/>
    <x v="1"/>
    <x v="13"/>
    <x v="13"/>
    <x v="414"/>
    <x v="407"/>
    <x v="7"/>
    <x v="3"/>
    <n v="36"/>
    <x v="0"/>
    <s v="Recovered"/>
    <x v="1"/>
    <x v="1"/>
    <n v="6000"/>
    <x v="0"/>
    <x v="3"/>
    <x v="1"/>
  </r>
  <r>
    <x v="486"/>
    <n v="65"/>
    <x v="0"/>
    <x v="14"/>
    <x v="14"/>
    <x v="173"/>
    <x v="248"/>
    <x v="22"/>
    <x v="3"/>
    <n v="37"/>
    <x v="0"/>
    <s v="Stable"/>
    <x v="0"/>
    <x v="1"/>
    <n v="4000"/>
    <x v="2"/>
    <x v="3"/>
    <x v="3"/>
  </r>
  <r>
    <x v="487"/>
    <n v="55"/>
    <x v="0"/>
    <x v="0"/>
    <x v="0"/>
    <x v="415"/>
    <x v="408"/>
    <x v="22"/>
    <x v="2"/>
    <n v="38"/>
    <x v="1"/>
    <s v="Recovered"/>
    <x v="1"/>
    <x v="0"/>
    <n v="15000"/>
    <x v="0"/>
    <x v="3"/>
    <x v="2"/>
  </r>
  <r>
    <x v="488"/>
    <n v="62"/>
    <x v="1"/>
    <x v="1"/>
    <x v="1"/>
    <x v="416"/>
    <x v="409"/>
    <x v="10"/>
    <x v="0"/>
    <n v="36"/>
    <x v="0"/>
    <s v="Stable"/>
    <x v="0"/>
    <x v="1"/>
    <n v="2000"/>
    <x v="2"/>
    <x v="3"/>
    <x v="0"/>
  </r>
  <r>
    <x v="489"/>
    <n v="35"/>
    <x v="0"/>
    <x v="2"/>
    <x v="2"/>
    <x v="417"/>
    <x v="410"/>
    <x v="19"/>
    <x v="1"/>
    <n v="34"/>
    <x v="1"/>
    <s v="Recovered"/>
    <x v="2"/>
    <x v="0"/>
    <n v="500"/>
    <x v="1"/>
    <x v="3"/>
    <x v="1"/>
  </r>
  <r>
    <x v="490"/>
    <n v="78"/>
    <x v="1"/>
    <x v="3"/>
    <x v="3"/>
    <x v="418"/>
    <x v="411"/>
    <x v="3"/>
    <x v="2"/>
    <n v="41"/>
    <x v="0"/>
    <s v="Stable"/>
    <x v="3"/>
    <x v="0"/>
    <n v="10000"/>
    <x v="2"/>
    <x v="3"/>
    <x v="2"/>
  </r>
  <r>
    <x v="491"/>
    <n v="53"/>
    <x v="0"/>
    <x v="4"/>
    <x v="4"/>
    <x v="208"/>
    <x v="392"/>
    <x v="13"/>
    <x v="3"/>
    <n v="43"/>
    <x v="1"/>
    <s v="Recovered"/>
    <x v="0"/>
    <x v="0"/>
    <n v="25000"/>
    <x v="0"/>
    <x v="3"/>
    <x v="3"/>
  </r>
  <r>
    <x v="492"/>
    <n v="72"/>
    <x v="1"/>
    <x v="5"/>
    <x v="5"/>
    <x v="252"/>
    <x v="412"/>
    <x v="5"/>
    <x v="3"/>
    <n v="35"/>
    <x v="0"/>
    <s v="Stable"/>
    <x v="0"/>
    <x v="1"/>
    <n v="1000"/>
    <x v="2"/>
    <x v="3"/>
    <x v="1"/>
  </r>
  <r>
    <x v="493"/>
    <n v="60"/>
    <x v="0"/>
    <x v="6"/>
    <x v="6"/>
    <x v="419"/>
    <x v="118"/>
    <x v="0"/>
    <x v="2"/>
    <n v="37"/>
    <x v="1"/>
    <s v="Recovered"/>
    <x v="1"/>
    <x v="0"/>
    <n v="8000"/>
    <x v="0"/>
    <x v="3"/>
    <x v="2"/>
  </r>
  <r>
    <x v="494"/>
    <n v="45"/>
    <x v="1"/>
    <x v="7"/>
    <x v="7"/>
    <x v="420"/>
    <x v="157"/>
    <x v="7"/>
    <x v="1"/>
    <n v="39"/>
    <x v="0"/>
    <s v="Recovered"/>
    <x v="0"/>
    <x v="1"/>
    <n v="3000"/>
    <x v="0"/>
    <x v="3"/>
    <x v="1"/>
  </r>
  <r>
    <x v="495"/>
    <n v="75"/>
    <x v="0"/>
    <x v="8"/>
    <x v="8"/>
    <x v="161"/>
    <x v="413"/>
    <x v="18"/>
    <x v="1"/>
    <n v="41"/>
    <x v="1"/>
    <s v="Stable"/>
    <x v="3"/>
    <x v="0"/>
    <n v="18000"/>
    <x v="2"/>
    <x v="3"/>
    <x v="1"/>
  </r>
  <r>
    <x v="496"/>
    <n v="28"/>
    <x v="1"/>
    <x v="9"/>
    <x v="9"/>
    <x v="421"/>
    <x v="152"/>
    <x v="8"/>
    <x v="2"/>
    <n v="34"/>
    <x v="0"/>
    <s v="Recovered"/>
    <x v="2"/>
    <x v="0"/>
    <n v="100"/>
    <x v="1"/>
    <x v="3"/>
    <x v="2"/>
  </r>
  <r>
    <x v="497"/>
    <n v="52"/>
    <x v="0"/>
    <x v="10"/>
    <x v="10"/>
    <x v="422"/>
    <x v="414"/>
    <x v="15"/>
    <x v="3"/>
    <n v="35"/>
    <x v="0"/>
    <s v="Stable"/>
    <x v="0"/>
    <x v="0"/>
    <n v="800"/>
    <x v="0"/>
    <x v="3"/>
    <x v="3"/>
  </r>
  <r>
    <x v="498"/>
    <n v="67"/>
    <x v="1"/>
    <x v="11"/>
    <x v="11"/>
    <x v="423"/>
    <x v="132"/>
    <x v="16"/>
    <x v="0"/>
    <n v="42"/>
    <x v="0"/>
    <s v="Recovered"/>
    <x v="1"/>
    <x v="1"/>
    <n v="20000"/>
    <x v="2"/>
    <x v="3"/>
    <x v="0"/>
  </r>
  <r>
    <x v="499"/>
    <n v="35"/>
    <x v="0"/>
    <x v="12"/>
    <x v="12"/>
    <x v="424"/>
    <x v="0"/>
    <x v="27"/>
    <x v="0"/>
    <n v="36"/>
    <x v="0"/>
    <s v="Recovered"/>
    <x v="0"/>
    <x v="1"/>
    <n v="12000"/>
    <x v="1"/>
    <x v="3"/>
    <x v="0"/>
  </r>
  <r>
    <x v="500"/>
    <n v="50"/>
    <x v="1"/>
    <x v="13"/>
    <x v="13"/>
    <x v="425"/>
    <x v="415"/>
    <x v="26"/>
    <x v="2"/>
    <n v="37"/>
    <x v="0"/>
    <s v="Recovered"/>
    <x v="1"/>
    <x v="1"/>
    <n v="6000"/>
    <x v="0"/>
    <x v="3"/>
    <x v="2"/>
  </r>
  <r>
    <x v="501"/>
    <n v="60"/>
    <x v="0"/>
    <x v="14"/>
    <x v="14"/>
    <x v="426"/>
    <x v="416"/>
    <x v="10"/>
    <x v="1"/>
    <n v="38"/>
    <x v="0"/>
    <s v="Stable"/>
    <x v="0"/>
    <x v="0"/>
    <n v="4000"/>
    <x v="0"/>
    <x v="3"/>
    <x v="1"/>
  </r>
  <r>
    <x v="502"/>
    <n v="48"/>
    <x v="0"/>
    <x v="0"/>
    <x v="0"/>
    <x v="427"/>
    <x v="417"/>
    <x v="18"/>
    <x v="2"/>
    <n v="39"/>
    <x v="1"/>
    <s v="Recovered"/>
    <x v="0"/>
    <x v="0"/>
    <n v="15000"/>
    <x v="0"/>
    <x v="3"/>
    <x v="2"/>
  </r>
  <r>
    <x v="503"/>
    <n v="65"/>
    <x v="1"/>
    <x v="1"/>
    <x v="1"/>
    <x v="428"/>
    <x v="418"/>
    <x v="0"/>
    <x v="0"/>
    <n v="37"/>
    <x v="0"/>
    <s v="Stable"/>
    <x v="1"/>
    <x v="0"/>
    <n v="2000"/>
    <x v="2"/>
    <x v="3"/>
    <x v="0"/>
  </r>
  <r>
    <x v="504"/>
    <n v="30"/>
    <x v="0"/>
    <x v="2"/>
    <x v="2"/>
    <x v="429"/>
    <x v="419"/>
    <x v="19"/>
    <x v="0"/>
    <n v="35"/>
    <x v="0"/>
    <s v="Recovered"/>
    <x v="2"/>
    <x v="1"/>
    <n v="500"/>
    <x v="1"/>
    <x v="3"/>
    <x v="0"/>
  </r>
  <r>
    <x v="505"/>
    <n v="70"/>
    <x v="1"/>
    <x v="3"/>
    <x v="3"/>
    <x v="430"/>
    <x v="420"/>
    <x v="3"/>
    <x v="1"/>
    <n v="42"/>
    <x v="1"/>
    <s v="Stable"/>
    <x v="3"/>
    <x v="1"/>
    <n v="10000"/>
    <x v="2"/>
    <x v="3"/>
    <x v="0"/>
  </r>
  <r>
    <x v="506"/>
    <n v="55"/>
    <x v="0"/>
    <x v="4"/>
    <x v="4"/>
    <x v="311"/>
    <x v="421"/>
    <x v="13"/>
    <x v="0"/>
    <n v="44"/>
    <x v="0"/>
    <s v="Recovered"/>
    <x v="0"/>
    <x v="1"/>
    <n v="25000"/>
    <x v="0"/>
    <x v="3"/>
    <x v="2"/>
  </r>
  <r>
    <x v="507"/>
    <n v="68"/>
    <x v="1"/>
    <x v="5"/>
    <x v="5"/>
    <x v="431"/>
    <x v="422"/>
    <x v="5"/>
    <x v="1"/>
    <n v="36"/>
    <x v="0"/>
    <s v="Stable"/>
    <x v="0"/>
    <x v="1"/>
    <n v="1000"/>
    <x v="2"/>
    <x v="3"/>
    <x v="1"/>
  </r>
  <r>
    <x v="508"/>
    <n v="45"/>
    <x v="0"/>
    <x v="6"/>
    <x v="6"/>
    <x v="432"/>
    <x v="423"/>
    <x v="0"/>
    <x v="1"/>
    <n v="38"/>
    <x v="0"/>
    <s v="Recovered"/>
    <x v="1"/>
    <x v="1"/>
    <n v="8000"/>
    <x v="0"/>
    <x v="3"/>
    <x v="0"/>
  </r>
  <r>
    <x v="509"/>
    <n v="40"/>
    <x v="1"/>
    <x v="7"/>
    <x v="7"/>
    <x v="171"/>
    <x v="70"/>
    <x v="7"/>
    <x v="0"/>
    <n v="40"/>
    <x v="0"/>
    <s v="Recovered"/>
    <x v="0"/>
    <x v="1"/>
    <n v="3000"/>
    <x v="0"/>
    <x v="3"/>
    <x v="0"/>
  </r>
  <r>
    <x v="510"/>
    <n v="78"/>
    <x v="0"/>
    <x v="8"/>
    <x v="8"/>
    <x v="433"/>
    <x v="424"/>
    <x v="18"/>
    <x v="1"/>
    <n v="42"/>
    <x v="1"/>
    <s v="Stable"/>
    <x v="3"/>
    <x v="1"/>
    <n v="18000"/>
    <x v="2"/>
    <x v="3"/>
    <x v="1"/>
  </r>
  <r>
    <x v="511"/>
    <n v="25"/>
    <x v="1"/>
    <x v="9"/>
    <x v="9"/>
    <x v="434"/>
    <x v="100"/>
    <x v="23"/>
    <x v="0"/>
    <n v="35"/>
    <x v="0"/>
    <s v="Recovered"/>
    <x v="2"/>
    <x v="0"/>
    <n v="100"/>
    <x v="1"/>
    <x v="3"/>
    <x v="0"/>
  </r>
  <r>
    <x v="512"/>
    <n v="52"/>
    <x v="0"/>
    <x v="10"/>
    <x v="10"/>
    <x v="19"/>
    <x v="339"/>
    <x v="8"/>
    <x v="0"/>
    <n v="36"/>
    <x v="0"/>
    <s v="Stable"/>
    <x v="0"/>
    <x v="1"/>
    <n v="800"/>
    <x v="0"/>
    <x v="3"/>
    <x v="0"/>
  </r>
  <r>
    <x v="513"/>
    <n v="58"/>
    <x v="1"/>
    <x v="11"/>
    <x v="11"/>
    <x v="435"/>
    <x v="425"/>
    <x v="0"/>
    <x v="0"/>
    <n v="43"/>
    <x v="0"/>
    <s v="Recovered"/>
    <x v="1"/>
    <x v="1"/>
    <n v="20000"/>
    <x v="0"/>
    <x v="3"/>
    <x v="0"/>
  </r>
  <r>
    <x v="514"/>
    <n v="32"/>
    <x v="0"/>
    <x v="12"/>
    <x v="12"/>
    <x v="436"/>
    <x v="426"/>
    <x v="9"/>
    <x v="3"/>
    <n v="37"/>
    <x v="0"/>
    <s v="Recovered"/>
    <x v="0"/>
    <x v="1"/>
    <n v="12000"/>
    <x v="1"/>
    <x v="3"/>
    <x v="3"/>
  </r>
  <r>
    <x v="515"/>
    <n v="55"/>
    <x v="1"/>
    <x v="13"/>
    <x v="13"/>
    <x v="356"/>
    <x v="427"/>
    <x v="26"/>
    <x v="3"/>
    <n v="38"/>
    <x v="0"/>
    <s v="Recovered"/>
    <x v="1"/>
    <x v="0"/>
    <n v="6000"/>
    <x v="0"/>
    <x v="3"/>
    <x v="3"/>
  </r>
  <r>
    <x v="516"/>
    <n v="65"/>
    <x v="0"/>
    <x v="14"/>
    <x v="14"/>
    <x v="247"/>
    <x v="428"/>
    <x v="24"/>
    <x v="1"/>
    <n v="39"/>
    <x v="0"/>
    <s v="Stable"/>
    <x v="0"/>
    <x v="1"/>
    <n v="4000"/>
    <x v="2"/>
    <x v="3"/>
    <x v="1"/>
  </r>
  <r>
    <x v="517"/>
    <n v="55"/>
    <x v="0"/>
    <x v="0"/>
    <x v="0"/>
    <x v="437"/>
    <x v="363"/>
    <x v="18"/>
    <x v="1"/>
    <n v="40"/>
    <x v="1"/>
    <s v="Recovered"/>
    <x v="1"/>
    <x v="0"/>
    <n v="15000"/>
    <x v="0"/>
    <x v="3"/>
    <x v="1"/>
  </r>
  <r>
    <x v="518"/>
    <n v="62"/>
    <x v="1"/>
    <x v="1"/>
    <x v="1"/>
    <x v="438"/>
    <x v="429"/>
    <x v="1"/>
    <x v="0"/>
    <n v="38"/>
    <x v="0"/>
    <s v="Stable"/>
    <x v="0"/>
    <x v="0"/>
    <n v="2000"/>
    <x v="2"/>
    <x v="3"/>
    <x v="0"/>
  </r>
  <r>
    <x v="519"/>
    <n v="35"/>
    <x v="0"/>
    <x v="2"/>
    <x v="2"/>
    <x v="296"/>
    <x v="430"/>
    <x v="2"/>
    <x v="3"/>
    <n v="36"/>
    <x v="1"/>
    <s v="Recovered"/>
    <x v="2"/>
    <x v="0"/>
    <n v="500"/>
    <x v="1"/>
    <x v="3"/>
    <x v="3"/>
  </r>
  <r>
    <x v="520"/>
    <n v="78"/>
    <x v="1"/>
    <x v="3"/>
    <x v="3"/>
    <x v="439"/>
    <x v="137"/>
    <x v="4"/>
    <x v="2"/>
    <n v="43"/>
    <x v="0"/>
    <s v="Stable"/>
    <x v="3"/>
    <x v="0"/>
    <n v="10000"/>
    <x v="2"/>
    <x v="3"/>
    <x v="2"/>
  </r>
  <r>
    <x v="521"/>
    <n v="53"/>
    <x v="0"/>
    <x v="4"/>
    <x v="4"/>
    <x v="440"/>
    <x v="431"/>
    <x v="13"/>
    <x v="3"/>
    <n v="45"/>
    <x v="1"/>
    <s v="Recovered"/>
    <x v="0"/>
    <x v="1"/>
    <n v="25000"/>
    <x v="0"/>
    <x v="3"/>
    <x v="3"/>
  </r>
  <r>
    <x v="522"/>
    <n v="72"/>
    <x v="1"/>
    <x v="5"/>
    <x v="5"/>
    <x v="441"/>
    <x v="432"/>
    <x v="5"/>
    <x v="3"/>
    <n v="38"/>
    <x v="0"/>
    <s v="Stable"/>
    <x v="0"/>
    <x v="0"/>
    <n v="1000"/>
    <x v="2"/>
    <x v="3"/>
    <x v="3"/>
  </r>
  <r>
    <x v="523"/>
    <n v="60"/>
    <x v="0"/>
    <x v="6"/>
    <x v="6"/>
    <x v="442"/>
    <x v="433"/>
    <x v="21"/>
    <x v="1"/>
    <n v="39"/>
    <x v="1"/>
    <s v="Recovered"/>
    <x v="1"/>
    <x v="1"/>
    <n v="8000"/>
    <x v="0"/>
    <x v="3"/>
    <x v="1"/>
  </r>
  <r>
    <x v="524"/>
    <n v="45"/>
    <x v="1"/>
    <x v="7"/>
    <x v="7"/>
    <x v="443"/>
    <x v="261"/>
    <x v="20"/>
    <x v="1"/>
    <n v="41"/>
    <x v="0"/>
    <s v="Recovered"/>
    <x v="0"/>
    <x v="0"/>
    <n v="3000"/>
    <x v="0"/>
    <x v="3"/>
    <x v="1"/>
  </r>
  <r>
    <x v="525"/>
    <n v="75"/>
    <x v="0"/>
    <x v="8"/>
    <x v="8"/>
    <x v="29"/>
    <x v="434"/>
    <x v="14"/>
    <x v="1"/>
    <n v="43"/>
    <x v="1"/>
    <s v="Stable"/>
    <x v="3"/>
    <x v="1"/>
    <n v="18000"/>
    <x v="2"/>
    <x v="3"/>
    <x v="1"/>
  </r>
  <r>
    <x v="526"/>
    <n v="28"/>
    <x v="1"/>
    <x v="9"/>
    <x v="9"/>
    <x v="62"/>
    <x v="34"/>
    <x v="0"/>
    <x v="0"/>
    <n v="36"/>
    <x v="0"/>
    <s v="Recovered"/>
    <x v="2"/>
    <x v="1"/>
    <n v="100"/>
    <x v="1"/>
    <x v="3"/>
    <x v="0"/>
  </r>
  <r>
    <x v="527"/>
    <n v="52"/>
    <x v="0"/>
    <x v="10"/>
    <x v="10"/>
    <x v="444"/>
    <x v="435"/>
    <x v="15"/>
    <x v="1"/>
    <n v="37"/>
    <x v="0"/>
    <s v="Stable"/>
    <x v="0"/>
    <x v="1"/>
    <n v="800"/>
    <x v="0"/>
    <x v="3"/>
    <x v="0"/>
  </r>
  <r>
    <x v="528"/>
    <n v="67"/>
    <x v="1"/>
    <x v="11"/>
    <x v="11"/>
    <x v="445"/>
    <x v="436"/>
    <x v="16"/>
    <x v="3"/>
    <n v="44"/>
    <x v="0"/>
    <s v="Recovered"/>
    <x v="1"/>
    <x v="1"/>
    <n v="20000"/>
    <x v="2"/>
    <x v="3"/>
    <x v="3"/>
  </r>
  <r>
    <x v="529"/>
    <n v="35"/>
    <x v="0"/>
    <x v="12"/>
    <x v="12"/>
    <x v="338"/>
    <x v="293"/>
    <x v="17"/>
    <x v="1"/>
    <n v="38"/>
    <x v="0"/>
    <s v="Recovered"/>
    <x v="0"/>
    <x v="0"/>
    <n v="12000"/>
    <x v="1"/>
    <x v="3"/>
    <x v="1"/>
  </r>
  <r>
    <x v="530"/>
    <n v="60"/>
    <x v="0"/>
    <x v="14"/>
    <x v="14"/>
    <x v="446"/>
    <x v="437"/>
    <x v="22"/>
    <x v="3"/>
    <n v="40"/>
    <x v="0"/>
    <s v="Stable"/>
    <x v="0"/>
    <x v="1"/>
    <n v="4000"/>
    <x v="0"/>
    <x v="3"/>
    <x v="3"/>
  </r>
  <r>
    <x v="531"/>
    <n v="48"/>
    <x v="0"/>
    <x v="0"/>
    <x v="0"/>
    <x v="447"/>
    <x v="438"/>
    <x v="18"/>
    <x v="2"/>
    <n v="41"/>
    <x v="1"/>
    <s v="Recovered"/>
    <x v="0"/>
    <x v="1"/>
    <n v="15000"/>
    <x v="0"/>
    <x v="3"/>
    <x v="2"/>
  </r>
  <r>
    <x v="532"/>
    <n v="65"/>
    <x v="1"/>
    <x v="1"/>
    <x v="1"/>
    <x v="403"/>
    <x v="190"/>
    <x v="0"/>
    <x v="1"/>
    <n v="39"/>
    <x v="0"/>
    <s v="Stable"/>
    <x v="1"/>
    <x v="0"/>
    <n v="2000"/>
    <x v="2"/>
    <x v="3"/>
    <x v="1"/>
  </r>
  <r>
    <x v="533"/>
    <n v="30"/>
    <x v="0"/>
    <x v="2"/>
    <x v="2"/>
    <x v="448"/>
    <x v="439"/>
    <x v="2"/>
    <x v="3"/>
    <n v="37"/>
    <x v="0"/>
    <s v="Recovered"/>
    <x v="2"/>
    <x v="0"/>
    <n v="500"/>
    <x v="1"/>
    <x v="3"/>
    <x v="3"/>
  </r>
  <r>
    <x v="534"/>
    <n v="70"/>
    <x v="1"/>
    <x v="3"/>
    <x v="3"/>
    <x v="286"/>
    <x v="440"/>
    <x v="3"/>
    <x v="3"/>
    <n v="44"/>
    <x v="1"/>
    <s v="Stable"/>
    <x v="3"/>
    <x v="1"/>
    <n v="10000"/>
    <x v="2"/>
    <x v="3"/>
    <x v="3"/>
  </r>
  <r>
    <x v="535"/>
    <n v="55"/>
    <x v="0"/>
    <x v="4"/>
    <x v="4"/>
    <x v="449"/>
    <x v="441"/>
    <x v="16"/>
    <x v="3"/>
    <n v="46"/>
    <x v="0"/>
    <s v="Recovered"/>
    <x v="0"/>
    <x v="1"/>
    <n v="25000"/>
    <x v="0"/>
    <x v="3"/>
    <x v="3"/>
  </r>
  <r>
    <x v="536"/>
    <n v="68"/>
    <x v="1"/>
    <x v="5"/>
    <x v="5"/>
    <x v="450"/>
    <x v="442"/>
    <x v="18"/>
    <x v="2"/>
    <n v="40"/>
    <x v="0"/>
    <s v="Stable"/>
    <x v="0"/>
    <x v="1"/>
    <n v="1000"/>
    <x v="2"/>
    <x v="3"/>
    <x v="2"/>
  </r>
  <r>
    <x v="537"/>
    <n v="45"/>
    <x v="0"/>
    <x v="6"/>
    <x v="6"/>
    <x v="442"/>
    <x v="443"/>
    <x v="22"/>
    <x v="1"/>
    <n v="42"/>
    <x v="0"/>
    <s v="Recovered"/>
    <x v="1"/>
    <x v="1"/>
    <n v="8000"/>
    <x v="0"/>
    <x v="3"/>
    <x v="1"/>
  </r>
  <r>
    <x v="538"/>
    <n v="40"/>
    <x v="1"/>
    <x v="7"/>
    <x v="7"/>
    <x v="451"/>
    <x v="444"/>
    <x v="7"/>
    <x v="0"/>
    <n v="42"/>
    <x v="0"/>
    <s v="Recovered"/>
    <x v="0"/>
    <x v="1"/>
    <n v="3000"/>
    <x v="0"/>
    <x v="3"/>
    <x v="0"/>
  </r>
  <r>
    <x v="539"/>
    <n v="78"/>
    <x v="0"/>
    <x v="8"/>
    <x v="8"/>
    <x v="452"/>
    <x v="428"/>
    <x v="18"/>
    <x v="1"/>
    <n v="44"/>
    <x v="1"/>
    <s v="Stable"/>
    <x v="3"/>
    <x v="1"/>
    <n v="18000"/>
    <x v="2"/>
    <x v="3"/>
    <x v="1"/>
  </r>
  <r>
    <x v="540"/>
    <n v="25"/>
    <x v="1"/>
    <x v="9"/>
    <x v="9"/>
    <x v="453"/>
    <x v="445"/>
    <x v="0"/>
    <x v="2"/>
    <n v="37"/>
    <x v="0"/>
    <s v="Recovered"/>
    <x v="2"/>
    <x v="1"/>
    <n v="100"/>
    <x v="1"/>
    <x v="3"/>
    <x v="2"/>
  </r>
  <r>
    <x v="541"/>
    <n v="52"/>
    <x v="0"/>
    <x v="10"/>
    <x v="10"/>
    <x v="414"/>
    <x v="446"/>
    <x v="13"/>
    <x v="3"/>
    <n v="38"/>
    <x v="0"/>
    <s v="Stable"/>
    <x v="0"/>
    <x v="0"/>
    <n v="800"/>
    <x v="0"/>
    <x v="3"/>
    <x v="1"/>
  </r>
  <r>
    <x v="542"/>
    <n v="58"/>
    <x v="1"/>
    <x v="11"/>
    <x v="11"/>
    <x v="454"/>
    <x v="302"/>
    <x v="8"/>
    <x v="1"/>
    <n v="45"/>
    <x v="0"/>
    <s v="Recovered"/>
    <x v="1"/>
    <x v="0"/>
    <n v="20000"/>
    <x v="0"/>
    <x v="3"/>
    <x v="1"/>
  </r>
  <r>
    <x v="543"/>
    <n v="32"/>
    <x v="0"/>
    <x v="12"/>
    <x v="12"/>
    <x v="455"/>
    <x v="447"/>
    <x v="25"/>
    <x v="1"/>
    <n v="39"/>
    <x v="0"/>
    <s v="Recovered"/>
    <x v="0"/>
    <x v="1"/>
    <n v="12000"/>
    <x v="1"/>
    <x v="3"/>
    <x v="1"/>
  </r>
  <r>
    <x v="544"/>
    <n v="55"/>
    <x v="1"/>
    <x v="13"/>
    <x v="13"/>
    <x v="140"/>
    <x v="362"/>
    <x v="26"/>
    <x v="3"/>
    <n v="40"/>
    <x v="0"/>
    <s v="Recovered"/>
    <x v="1"/>
    <x v="1"/>
    <n v="6000"/>
    <x v="0"/>
    <x v="3"/>
    <x v="3"/>
  </r>
  <r>
    <x v="545"/>
    <n v="65"/>
    <x v="0"/>
    <x v="14"/>
    <x v="14"/>
    <x v="456"/>
    <x v="407"/>
    <x v="10"/>
    <x v="3"/>
    <n v="41"/>
    <x v="0"/>
    <s v="Stable"/>
    <x v="0"/>
    <x v="0"/>
    <n v="4000"/>
    <x v="2"/>
    <x v="3"/>
    <x v="1"/>
  </r>
  <r>
    <x v="546"/>
    <n v="55"/>
    <x v="0"/>
    <x v="0"/>
    <x v="0"/>
    <x v="457"/>
    <x v="303"/>
    <x v="22"/>
    <x v="0"/>
    <n v="42"/>
    <x v="1"/>
    <s v="Recovered"/>
    <x v="1"/>
    <x v="1"/>
    <n v="15000"/>
    <x v="0"/>
    <x v="3"/>
    <x v="2"/>
  </r>
  <r>
    <x v="547"/>
    <n v="62"/>
    <x v="1"/>
    <x v="1"/>
    <x v="1"/>
    <x v="458"/>
    <x v="448"/>
    <x v="0"/>
    <x v="0"/>
    <n v="40"/>
    <x v="0"/>
    <s v="Stable"/>
    <x v="0"/>
    <x v="0"/>
    <n v="2000"/>
    <x v="2"/>
    <x v="3"/>
    <x v="0"/>
  </r>
  <r>
    <x v="548"/>
    <n v="35"/>
    <x v="0"/>
    <x v="2"/>
    <x v="2"/>
    <x v="0"/>
    <x v="449"/>
    <x v="2"/>
    <x v="0"/>
    <n v="38"/>
    <x v="1"/>
    <s v="Recovered"/>
    <x v="2"/>
    <x v="1"/>
    <n v="500"/>
    <x v="1"/>
    <x v="3"/>
    <x v="0"/>
  </r>
  <r>
    <x v="549"/>
    <n v="78"/>
    <x v="1"/>
    <x v="3"/>
    <x v="3"/>
    <x v="459"/>
    <x v="450"/>
    <x v="4"/>
    <x v="0"/>
    <n v="45"/>
    <x v="0"/>
    <s v="Stable"/>
    <x v="3"/>
    <x v="1"/>
    <n v="10000"/>
    <x v="2"/>
    <x v="3"/>
    <x v="0"/>
  </r>
  <r>
    <x v="550"/>
    <n v="53"/>
    <x v="0"/>
    <x v="4"/>
    <x v="4"/>
    <x v="460"/>
    <x v="17"/>
    <x v="16"/>
    <x v="2"/>
    <n v="47"/>
    <x v="1"/>
    <s v="Recovered"/>
    <x v="0"/>
    <x v="1"/>
    <n v="25000"/>
    <x v="0"/>
    <x v="3"/>
    <x v="2"/>
  </r>
  <r>
    <x v="551"/>
    <n v="72"/>
    <x v="1"/>
    <x v="5"/>
    <x v="5"/>
    <x v="461"/>
    <x v="451"/>
    <x v="1"/>
    <x v="3"/>
    <n v="41"/>
    <x v="0"/>
    <s v="Stable"/>
    <x v="0"/>
    <x v="0"/>
    <n v="1000"/>
    <x v="2"/>
    <x v="3"/>
    <x v="3"/>
  </r>
  <r>
    <x v="552"/>
    <n v="60"/>
    <x v="0"/>
    <x v="6"/>
    <x v="6"/>
    <x v="447"/>
    <x v="452"/>
    <x v="14"/>
    <x v="2"/>
    <n v="43"/>
    <x v="1"/>
    <s v="Recovered"/>
    <x v="1"/>
    <x v="1"/>
    <n v="8000"/>
    <x v="0"/>
    <x v="3"/>
    <x v="2"/>
  </r>
  <r>
    <x v="553"/>
    <n v="45"/>
    <x v="1"/>
    <x v="7"/>
    <x v="7"/>
    <x v="387"/>
    <x v="295"/>
    <x v="19"/>
    <x v="3"/>
    <n v="43"/>
    <x v="0"/>
    <s v="Recovered"/>
    <x v="0"/>
    <x v="1"/>
    <n v="3000"/>
    <x v="0"/>
    <x v="3"/>
    <x v="3"/>
  </r>
  <r>
    <x v="554"/>
    <n v="75"/>
    <x v="0"/>
    <x v="8"/>
    <x v="8"/>
    <x v="462"/>
    <x v="367"/>
    <x v="14"/>
    <x v="3"/>
    <n v="45"/>
    <x v="1"/>
    <s v="Stable"/>
    <x v="3"/>
    <x v="1"/>
    <n v="18000"/>
    <x v="2"/>
    <x v="3"/>
    <x v="3"/>
  </r>
  <r>
    <x v="555"/>
    <n v="28"/>
    <x v="1"/>
    <x v="9"/>
    <x v="9"/>
    <x v="463"/>
    <x v="453"/>
    <x v="23"/>
    <x v="0"/>
    <n v="38"/>
    <x v="0"/>
    <s v="Recovered"/>
    <x v="2"/>
    <x v="0"/>
    <n v="100"/>
    <x v="1"/>
    <x v="3"/>
    <x v="0"/>
  </r>
  <r>
    <x v="556"/>
    <n v="52"/>
    <x v="0"/>
    <x v="10"/>
    <x v="10"/>
    <x v="464"/>
    <x v="56"/>
    <x v="20"/>
    <x v="0"/>
    <n v="39"/>
    <x v="0"/>
    <s v="Stable"/>
    <x v="0"/>
    <x v="1"/>
    <n v="800"/>
    <x v="0"/>
    <x v="3"/>
    <x v="0"/>
  </r>
  <r>
    <x v="557"/>
    <n v="67"/>
    <x v="1"/>
    <x v="11"/>
    <x v="11"/>
    <x v="465"/>
    <x v="380"/>
    <x v="8"/>
    <x v="3"/>
    <n v="46"/>
    <x v="0"/>
    <s v="Recovered"/>
    <x v="1"/>
    <x v="0"/>
    <n v="20000"/>
    <x v="2"/>
    <x v="3"/>
    <x v="3"/>
  </r>
  <r>
    <x v="558"/>
    <n v="35"/>
    <x v="0"/>
    <x v="12"/>
    <x v="12"/>
    <x v="466"/>
    <x v="454"/>
    <x v="23"/>
    <x v="0"/>
    <n v="40"/>
    <x v="0"/>
    <s v="Recovered"/>
    <x v="0"/>
    <x v="0"/>
    <n v="12000"/>
    <x v="1"/>
    <x v="3"/>
    <x v="0"/>
  </r>
  <r>
    <x v="559"/>
    <n v="50"/>
    <x v="1"/>
    <x v="13"/>
    <x v="13"/>
    <x v="467"/>
    <x v="455"/>
    <x v="26"/>
    <x v="3"/>
    <n v="41"/>
    <x v="0"/>
    <s v="Recovered"/>
    <x v="1"/>
    <x v="0"/>
    <n v="6000"/>
    <x v="0"/>
    <x v="3"/>
    <x v="3"/>
  </r>
  <r>
    <x v="560"/>
    <n v="60"/>
    <x v="0"/>
    <x v="14"/>
    <x v="14"/>
    <x v="468"/>
    <x v="456"/>
    <x v="24"/>
    <x v="1"/>
    <n v="42"/>
    <x v="0"/>
    <s v="Stable"/>
    <x v="0"/>
    <x v="0"/>
    <n v="4000"/>
    <x v="0"/>
    <x v="3"/>
    <x v="1"/>
  </r>
  <r>
    <x v="561"/>
    <n v="48"/>
    <x v="0"/>
    <x v="0"/>
    <x v="0"/>
    <x v="469"/>
    <x v="374"/>
    <x v="0"/>
    <x v="2"/>
    <n v="43"/>
    <x v="1"/>
    <s v="Recovered"/>
    <x v="0"/>
    <x v="1"/>
    <n v="15000"/>
    <x v="0"/>
    <x v="3"/>
    <x v="2"/>
  </r>
  <r>
    <x v="562"/>
    <n v="65"/>
    <x v="1"/>
    <x v="1"/>
    <x v="1"/>
    <x v="470"/>
    <x v="457"/>
    <x v="1"/>
    <x v="0"/>
    <n v="41"/>
    <x v="0"/>
    <s v="Stable"/>
    <x v="1"/>
    <x v="1"/>
    <n v="2000"/>
    <x v="2"/>
    <x v="3"/>
    <x v="0"/>
  </r>
  <r>
    <x v="563"/>
    <n v="30"/>
    <x v="0"/>
    <x v="2"/>
    <x v="2"/>
    <x v="190"/>
    <x v="458"/>
    <x v="2"/>
    <x v="1"/>
    <n v="39"/>
    <x v="0"/>
    <s v="Recovered"/>
    <x v="2"/>
    <x v="1"/>
    <n v="500"/>
    <x v="1"/>
    <x v="3"/>
    <x v="1"/>
  </r>
  <r>
    <x v="564"/>
    <n v="70"/>
    <x v="1"/>
    <x v="3"/>
    <x v="3"/>
    <x v="67"/>
    <x v="61"/>
    <x v="12"/>
    <x v="1"/>
    <n v="46"/>
    <x v="1"/>
    <s v="Stable"/>
    <x v="3"/>
    <x v="0"/>
    <n v="10000"/>
    <x v="2"/>
    <x v="3"/>
    <x v="1"/>
  </r>
  <r>
    <x v="565"/>
    <n v="55"/>
    <x v="0"/>
    <x v="4"/>
    <x v="4"/>
    <x v="388"/>
    <x v="133"/>
    <x v="16"/>
    <x v="1"/>
    <n v="48"/>
    <x v="0"/>
    <s v="Recovered"/>
    <x v="0"/>
    <x v="1"/>
    <n v="25000"/>
    <x v="0"/>
    <x v="3"/>
    <x v="1"/>
  </r>
  <r>
    <x v="566"/>
    <n v="68"/>
    <x v="1"/>
    <x v="5"/>
    <x v="5"/>
    <x v="471"/>
    <x v="459"/>
    <x v="1"/>
    <x v="0"/>
    <n v="42"/>
    <x v="0"/>
    <s v="Stable"/>
    <x v="0"/>
    <x v="1"/>
    <n v="1000"/>
    <x v="2"/>
    <x v="3"/>
    <x v="0"/>
  </r>
  <r>
    <x v="567"/>
    <n v="45"/>
    <x v="0"/>
    <x v="6"/>
    <x v="6"/>
    <x v="472"/>
    <x v="460"/>
    <x v="21"/>
    <x v="3"/>
    <n v="44"/>
    <x v="0"/>
    <s v="Recovered"/>
    <x v="1"/>
    <x v="0"/>
    <n v="8000"/>
    <x v="0"/>
    <x v="3"/>
    <x v="3"/>
  </r>
  <r>
    <x v="568"/>
    <n v="40"/>
    <x v="1"/>
    <x v="7"/>
    <x v="7"/>
    <x v="473"/>
    <x v="461"/>
    <x v="19"/>
    <x v="0"/>
    <n v="44"/>
    <x v="0"/>
    <s v="Recovered"/>
    <x v="0"/>
    <x v="1"/>
    <n v="3000"/>
    <x v="0"/>
    <x v="3"/>
    <x v="0"/>
  </r>
  <r>
    <x v="569"/>
    <n v="78"/>
    <x v="0"/>
    <x v="8"/>
    <x v="8"/>
    <x v="35"/>
    <x v="462"/>
    <x v="18"/>
    <x v="3"/>
    <n v="46"/>
    <x v="1"/>
    <s v="Stable"/>
    <x v="3"/>
    <x v="0"/>
    <n v="18000"/>
    <x v="2"/>
    <x v="3"/>
    <x v="3"/>
  </r>
  <r>
    <x v="570"/>
    <n v="25"/>
    <x v="1"/>
    <x v="9"/>
    <x v="9"/>
    <x v="474"/>
    <x v="463"/>
    <x v="0"/>
    <x v="1"/>
    <n v="39"/>
    <x v="0"/>
    <s v="Recovered"/>
    <x v="2"/>
    <x v="0"/>
    <n v="100"/>
    <x v="1"/>
    <x v="3"/>
    <x v="1"/>
  </r>
  <r>
    <x v="571"/>
    <n v="52"/>
    <x v="0"/>
    <x v="10"/>
    <x v="10"/>
    <x v="475"/>
    <x v="464"/>
    <x v="20"/>
    <x v="0"/>
    <n v="40"/>
    <x v="0"/>
    <s v="Stable"/>
    <x v="0"/>
    <x v="0"/>
    <n v="800"/>
    <x v="0"/>
    <x v="3"/>
    <x v="0"/>
  </r>
  <r>
    <x v="572"/>
    <n v="58"/>
    <x v="1"/>
    <x v="11"/>
    <x v="11"/>
    <x v="476"/>
    <x v="465"/>
    <x v="2"/>
    <x v="1"/>
    <n v="47"/>
    <x v="0"/>
    <s v="Recovered"/>
    <x v="1"/>
    <x v="1"/>
    <n v="20000"/>
    <x v="0"/>
    <x v="3"/>
    <x v="1"/>
  </r>
  <r>
    <x v="573"/>
    <n v="32"/>
    <x v="0"/>
    <x v="12"/>
    <x v="12"/>
    <x v="39"/>
    <x v="466"/>
    <x v="9"/>
    <x v="0"/>
    <n v="41"/>
    <x v="0"/>
    <s v="Recovered"/>
    <x v="0"/>
    <x v="0"/>
    <n v="12000"/>
    <x v="1"/>
    <x v="3"/>
    <x v="0"/>
  </r>
  <r>
    <x v="574"/>
    <n v="55"/>
    <x v="1"/>
    <x v="13"/>
    <x v="13"/>
    <x v="76"/>
    <x v="467"/>
    <x v="26"/>
    <x v="2"/>
    <n v="42"/>
    <x v="0"/>
    <s v="Recovered"/>
    <x v="1"/>
    <x v="1"/>
    <n v="6000"/>
    <x v="0"/>
    <x v="3"/>
    <x v="2"/>
  </r>
  <r>
    <x v="575"/>
    <n v="65"/>
    <x v="0"/>
    <x v="14"/>
    <x v="14"/>
    <x v="82"/>
    <x v="468"/>
    <x v="10"/>
    <x v="2"/>
    <n v="43"/>
    <x v="0"/>
    <s v="Stable"/>
    <x v="0"/>
    <x v="1"/>
    <n v="4000"/>
    <x v="2"/>
    <x v="3"/>
    <x v="2"/>
  </r>
  <r>
    <x v="576"/>
    <n v="55"/>
    <x v="0"/>
    <x v="0"/>
    <x v="0"/>
    <x v="477"/>
    <x v="383"/>
    <x v="0"/>
    <x v="0"/>
    <n v="44"/>
    <x v="1"/>
    <s v="Recovered"/>
    <x v="1"/>
    <x v="1"/>
    <n v="15000"/>
    <x v="0"/>
    <x v="3"/>
    <x v="0"/>
  </r>
  <r>
    <x v="577"/>
    <n v="62"/>
    <x v="1"/>
    <x v="1"/>
    <x v="1"/>
    <x v="474"/>
    <x v="139"/>
    <x v="20"/>
    <x v="1"/>
    <n v="42"/>
    <x v="0"/>
    <s v="Stable"/>
    <x v="0"/>
    <x v="1"/>
    <n v="2000"/>
    <x v="2"/>
    <x v="3"/>
    <x v="1"/>
  </r>
  <r>
    <x v="578"/>
    <n v="35"/>
    <x v="0"/>
    <x v="2"/>
    <x v="2"/>
    <x v="478"/>
    <x v="469"/>
    <x v="19"/>
    <x v="3"/>
    <n v="40"/>
    <x v="1"/>
    <s v="Recovered"/>
    <x v="2"/>
    <x v="0"/>
    <n v="500"/>
    <x v="1"/>
    <x v="3"/>
    <x v="3"/>
  </r>
  <r>
    <x v="579"/>
    <n v="78"/>
    <x v="1"/>
    <x v="3"/>
    <x v="3"/>
    <x v="479"/>
    <x v="470"/>
    <x v="12"/>
    <x v="2"/>
    <n v="47"/>
    <x v="0"/>
    <s v="Stable"/>
    <x v="3"/>
    <x v="1"/>
    <n v="10000"/>
    <x v="2"/>
    <x v="3"/>
    <x v="4"/>
  </r>
  <r>
    <x v="580"/>
    <n v="53"/>
    <x v="0"/>
    <x v="4"/>
    <x v="4"/>
    <x v="480"/>
    <x v="471"/>
    <x v="16"/>
    <x v="2"/>
    <n v="49"/>
    <x v="1"/>
    <s v="Recovered"/>
    <x v="0"/>
    <x v="0"/>
    <n v="25000"/>
    <x v="0"/>
    <x v="3"/>
    <x v="2"/>
  </r>
  <r>
    <x v="581"/>
    <n v="72"/>
    <x v="1"/>
    <x v="5"/>
    <x v="5"/>
    <x v="481"/>
    <x v="472"/>
    <x v="1"/>
    <x v="1"/>
    <n v="43"/>
    <x v="0"/>
    <s v="Stable"/>
    <x v="0"/>
    <x v="0"/>
    <n v="1000"/>
    <x v="2"/>
    <x v="3"/>
    <x v="1"/>
  </r>
  <r>
    <x v="582"/>
    <n v="60"/>
    <x v="0"/>
    <x v="6"/>
    <x v="6"/>
    <x v="127"/>
    <x v="14"/>
    <x v="18"/>
    <x v="1"/>
    <n v="45"/>
    <x v="1"/>
    <s v="Recovered"/>
    <x v="1"/>
    <x v="0"/>
    <n v="8000"/>
    <x v="0"/>
    <x v="3"/>
    <x v="1"/>
  </r>
  <r>
    <x v="583"/>
    <n v="45"/>
    <x v="1"/>
    <x v="7"/>
    <x v="7"/>
    <x v="482"/>
    <x v="366"/>
    <x v="7"/>
    <x v="2"/>
    <n v="45"/>
    <x v="0"/>
    <s v="Recovered"/>
    <x v="0"/>
    <x v="1"/>
    <n v="3000"/>
    <x v="0"/>
    <x v="3"/>
    <x v="2"/>
  </r>
  <r>
    <x v="584"/>
    <n v="75"/>
    <x v="0"/>
    <x v="8"/>
    <x v="8"/>
    <x v="483"/>
    <x v="93"/>
    <x v="14"/>
    <x v="3"/>
    <n v="47"/>
    <x v="1"/>
    <s v="Stable"/>
    <x v="3"/>
    <x v="1"/>
    <n v="18000"/>
    <x v="2"/>
    <x v="3"/>
    <x v="3"/>
  </r>
  <r>
    <x v="585"/>
    <n v="28"/>
    <x v="1"/>
    <x v="9"/>
    <x v="9"/>
    <x v="484"/>
    <x v="344"/>
    <x v="23"/>
    <x v="3"/>
    <n v="40"/>
    <x v="0"/>
    <s v="Recovered"/>
    <x v="2"/>
    <x v="0"/>
    <n v="100"/>
    <x v="1"/>
    <x v="3"/>
    <x v="1"/>
  </r>
  <r>
    <x v="586"/>
    <n v="52"/>
    <x v="0"/>
    <x v="10"/>
    <x v="10"/>
    <x v="485"/>
    <x v="473"/>
    <x v="15"/>
    <x v="2"/>
    <n v="41"/>
    <x v="0"/>
    <s v="Stable"/>
    <x v="0"/>
    <x v="0"/>
    <n v="800"/>
    <x v="0"/>
    <x v="3"/>
    <x v="2"/>
  </r>
  <r>
    <x v="587"/>
    <n v="67"/>
    <x v="1"/>
    <x v="11"/>
    <x v="11"/>
    <x v="486"/>
    <x v="474"/>
    <x v="6"/>
    <x v="0"/>
    <n v="48"/>
    <x v="0"/>
    <s v="Recovered"/>
    <x v="1"/>
    <x v="1"/>
    <n v="20000"/>
    <x v="2"/>
    <x v="3"/>
    <x v="0"/>
  </r>
  <r>
    <x v="588"/>
    <n v="35"/>
    <x v="0"/>
    <x v="12"/>
    <x v="12"/>
    <x v="487"/>
    <x v="475"/>
    <x v="9"/>
    <x v="1"/>
    <n v="42"/>
    <x v="0"/>
    <s v="Recovered"/>
    <x v="0"/>
    <x v="1"/>
    <n v="12000"/>
    <x v="1"/>
    <x v="3"/>
    <x v="0"/>
  </r>
  <r>
    <x v="589"/>
    <n v="50"/>
    <x v="1"/>
    <x v="13"/>
    <x v="13"/>
    <x v="159"/>
    <x v="331"/>
    <x v="18"/>
    <x v="0"/>
    <n v="43"/>
    <x v="0"/>
    <s v="Recovered"/>
    <x v="1"/>
    <x v="1"/>
    <n v="6000"/>
    <x v="0"/>
    <x v="3"/>
    <x v="2"/>
  </r>
  <r>
    <x v="590"/>
    <n v="48"/>
    <x v="0"/>
    <x v="0"/>
    <x v="0"/>
    <x v="488"/>
    <x v="476"/>
    <x v="22"/>
    <x v="0"/>
    <n v="45"/>
    <x v="1"/>
    <s v="Recovered"/>
    <x v="0"/>
    <x v="1"/>
    <n v="15000"/>
    <x v="0"/>
    <x v="3"/>
    <x v="0"/>
  </r>
  <r>
    <x v="591"/>
    <n v="65"/>
    <x v="1"/>
    <x v="1"/>
    <x v="1"/>
    <x v="489"/>
    <x v="477"/>
    <x v="20"/>
    <x v="3"/>
    <n v="43"/>
    <x v="0"/>
    <s v="Stable"/>
    <x v="1"/>
    <x v="1"/>
    <n v="2000"/>
    <x v="2"/>
    <x v="3"/>
    <x v="3"/>
  </r>
  <r>
    <x v="592"/>
    <n v="30"/>
    <x v="0"/>
    <x v="2"/>
    <x v="2"/>
    <x v="137"/>
    <x v="478"/>
    <x v="19"/>
    <x v="2"/>
    <n v="41"/>
    <x v="0"/>
    <s v="Recovered"/>
    <x v="2"/>
    <x v="1"/>
    <n v="500"/>
    <x v="1"/>
    <x v="3"/>
    <x v="2"/>
  </r>
  <r>
    <x v="593"/>
    <n v="70"/>
    <x v="1"/>
    <x v="3"/>
    <x v="3"/>
    <x v="328"/>
    <x v="479"/>
    <x v="12"/>
    <x v="2"/>
    <n v="48"/>
    <x v="1"/>
    <s v="Stable"/>
    <x v="3"/>
    <x v="0"/>
    <n v="10000"/>
    <x v="2"/>
    <x v="3"/>
    <x v="2"/>
  </r>
  <r>
    <x v="594"/>
    <n v="55"/>
    <x v="0"/>
    <x v="4"/>
    <x v="4"/>
    <x v="195"/>
    <x v="255"/>
    <x v="13"/>
    <x v="1"/>
    <n v="50"/>
    <x v="0"/>
    <s v="Recovered"/>
    <x v="0"/>
    <x v="1"/>
    <n v="25000"/>
    <x v="0"/>
    <x v="3"/>
    <x v="1"/>
  </r>
  <r>
    <x v="595"/>
    <n v="68"/>
    <x v="1"/>
    <x v="5"/>
    <x v="5"/>
    <x v="490"/>
    <x v="480"/>
    <x v="28"/>
    <x v="3"/>
    <n v="44"/>
    <x v="0"/>
    <s v="Stable"/>
    <x v="0"/>
    <x v="1"/>
    <n v="1000"/>
    <x v="2"/>
    <x v="3"/>
    <x v="3"/>
  </r>
  <r>
    <x v="596"/>
    <n v="45"/>
    <x v="0"/>
    <x v="6"/>
    <x v="6"/>
    <x v="451"/>
    <x v="481"/>
    <x v="21"/>
    <x v="0"/>
    <n v="46"/>
    <x v="0"/>
    <s v="Recovered"/>
    <x v="1"/>
    <x v="1"/>
    <n v="8000"/>
    <x v="0"/>
    <x v="3"/>
    <x v="0"/>
  </r>
  <r>
    <x v="597"/>
    <n v="40"/>
    <x v="1"/>
    <x v="7"/>
    <x v="7"/>
    <x v="491"/>
    <x v="482"/>
    <x v="19"/>
    <x v="0"/>
    <n v="46"/>
    <x v="0"/>
    <s v="Recovered"/>
    <x v="0"/>
    <x v="1"/>
    <n v="3000"/>
    <x v="0"/>
    <x v="3"/>
    <x v="0"/>
  </r>
  <r>
    <x v="598"/>
    <n v="78"/>
    <x v="0"/>
    <x v="8"/>
    <x v="8"/>
    <x v="492"/>
    <x v="483"/>
    <x v="0"/>
    <x v="0"/>
    <n v="48"/>
    <x v="1"/>
    <s v="Stable"/>
    <x v="3"/>
    <x v="1"/>
    <n v="18000"/>
    <x v="2"/>
    <x v="3"/>
    <x v="0"/>
  </r>
  <r>
    <x v="599"/>
    <n v="25"/>
    <x v="1"/>
    <x v="9"/>
    <x v="9"/>
    <x v="242"/>
    <x v="484"/>
    <x v="22"/>
    <x v="1"/>
    <n v="41"/>
    <x v="0"/>
    <s v="Recovered"/>
    <x v="2"/>
    <x v="0"/>
    <n v="100"/>
    <x v="1"/>
    <x v="3"/>
    <x v="1"/>
  </r>
  <r>
    <x v="600"/>
    <n v="52"/>
    <x v="0"/>
    <x v="10"/>
    <x v="10"/>
    <x v="112"/>
    <x v="275"/>
    <x v="20"/>
    <x v="2"/>
    <n v="42"/>
    <x v="0"/>
    <s v="Stable"/>
    <x v="0"/>
    <x v="1"/>
    <n v="800"/>
    <x v="0"/>
    <x v="3"/>
    <x v="2"/>
  </r>
  <r>
    <x v="601"/>
    <n v="58"/>
    <x v="1"/>
    <x v="11"/>
    <x v="11"/>
    <x v="493"/>
    <x v="485"/>
    <x v="0"/>
    <x v="2"/>
    <n v="49"/>
    <x v="0"/>
    <s v="Recovered"/>
    <x v="1"/>
    <x v="1"/>
    <n v="20000"/>
    <x v="0"/>
    <x v="3"/>
    <x v="4"/>
  </r>
  <r>
    <x v="602"/>
    <n v="32"/>
    <x v="0"/>
    <x v="12"/>
    <x v="12"/>
    <x v="494"/>
    <x v="486"/>
    <x v="9"/>
    <x v="0"/>
    <n v="43"/>
    <x v="0"/>
    <s v="Recovered"/>
    <x v="0"/>
    <x v="1"/>
    <n v="12000"/>
    <x v="1"/>
    <x v="3"/>
    <x v="0"/>
  </r>
  <r>
    <x v="603"/>
    <n v="55"/>
    <x v="1"/>
    <x v="13"/>
    <x v="13"/>
    <x v="439"/>
    <x v="438"/>
    <x v="7"/>
    <x v="2"/>
    <n v="44"/>
    <x v="0"/>
    <s v="Recovered"/>
    <x v="1"/>
    <x v="1"/>
    <n v="6000"/>
    <x v="0"/>
    <x v="3"/>
    <x v="2"/>
  </r>
  <r>
    <x v="604"/>
    <n v="65"/>
    <x v="0"/>
    <x v="14"/>
    <x v="14"/>
    <x v="495"/>
    <x v="487"/>
    <x v="24"/>
    <x v="3"/>
    <n v="45"/>
    <x v="0"/>
    <s v="Stable"/>
    <x v="0"/>
    <x v="0"/>
    <n v="4000"/>
    <x v="2"/>
    <x v="3"/>
    <x v="3"/>
  </r>
  <r>
    <x v="605"/>
    <n v="55"/>
    <x v="0"/>
    <x v="0"/>
    <x v="0"/>
    <x v="496"/>
    <x v="488"/>
    <x v="18"/>
    <x v="2"/>
    <n v="46"/>
    <x v="1"/>
    <s v="Recovered"/>
    <x v="1"/>
    <x v="1"/>
    <n v="15000"/>
    <x v="0"/>
    <x v="3"/>
    <x v="2"/>
  </r>
  <r>
    <x v="606"/>
    <n v="62"/>
    <x v="1"/>
    <x v="1"/>
    <x v="1"/>
    <x v="497"/>
    <x v="304"/>
    <x v="20"/>
    <x v="1"/>
    <n v="44"/>
    <x v="0"/>
    <s v="Stable"/>
    <x v="0"/>
    <x v="1"/>
    <n v="2000"/>
    <x v="2"/>
    <x v="3"/>
    <x v="0"/>
  </r>
  <r>
    <x v="607"/>
    <n v="35"/>
    <x v="0"/>
    <x v="2"/>
    <x v="2"/>
    <x v="461"/>
    <x v="489"/>
    <x v="2"/>
    <x v="3"/>
    <n v="42"/>
    <x v="1"/>
    <s v="Recovered"/>
    <x v="2"/>
    <x v="1"/>
    <n v="500"/>
    <x v="1"/>
    <x v="3"/>
    <x v="3"/>
  </r>
  <r>
    <x v="608"/>
    <n v="78"/>
    <x v="1"/>
    <x v="3"/>
    <x v="3"/>
    <x v="60"/>
    <x v="219"/>
    <x v="4"/>
    <x v="0"/>
    <n v="49"/>
    <x v="0"/>
    <s v="Stable"/>
    <x v="3"/>
    <x v="0"/>
    <n v="10000"/>
    <x v="2"/>
    <x v="3"/>
    <x v="0"/>
  </r>
  <r>
    <x v="609"/>
    <n v="53"/>
    <x v="0"/>
    <x v="4"/>
    <x v="4"/>
    <x v="498"/>
    <x v="490"/>
    <x v="4"/>
    <x v="0"/>
    <n v="51"/>
    <x v="1"/>
    <s v="Recovered"/>
    <x v="0"/>
    <x v="1"/>
    <n v="25000"/>
    <x v="0"/>
    <x v="3"/>
    <x v="0"/>
  </r>
  <r>
    <x v="610"/>
    <n v="72"/>
    <x v="1"/>
    <x v="5"/>
    <x v="5"/>
    <x v="57"/>
    <x v="207"/>
    <x v="1"/>
    <x v="0"/>
    <n v="45"/>
    <x v="0"/>
    <s v="Stable"/>
    <x v="0"/>
    <x v="1"/>
    <n v="1000"/>
    <x v="2"/>
    <x v="3"/>
    <x v="0"/>
  </r>
  <r>
    <x v="611"/>
    <n v="60"/>
    <x v="0"/>
    <x v="6"/>
    <x v="6"/>
    <x v="499"/>
    <x v="172"/>
    <x v="21"/>
    <x v="1"/>
    <n v="47"/>
    <x v="1"/>
    <s v="Recovered"/>
    <x v="1"/>
    <x v="1"/>
    <n v="8000"/>
    <x v="0"/>
    <x v="3"/>
    <x v="1"/>
  </r>
  <r>
    <x v="612"/>
    <n v="45"/>
    <x v="1"/>
    <x v="7"/>
    <x v="7"/>
    <x v="500"/>
    <x v="491"/>
    <x v="20"/>
    <x v="2"/>
    <n v="47"/>
    <x v="0"/>
    <s v="Recovered"/>
    <x v="0"/>
    <x v="1"/>
    <n v="3000"/>
    <x v="0"/>
    <x v="3"/>
    <x v="2"/>
  </r>
  <r>
    <x v="613"/>
    <n v="75"/>
    <x v="0"/>
    <x v="8"/>
    <x v="8"/>
    <x v="501"/>
    <x v="492"/>
    <x v="0"/>
    <x v="3"/>
    <n v="49"/>
    <x v="1"/>
    <s v="Stable"/>
    <x v="3"/>
    <x v="1"/>
    <n v="18000"/>
    <x v="2"/>
    <x v="3"/>
    <x v="1"/>
  </r>
  <r>
    <x v="614"/>
    <n v="28"/>
    <x v="1"/>
    <x v="9"/>
    <x v="9"/>
    <x v="502"/>
    <x v="493"/>
    <x v="23"/>
    <x v="1"/>
    <n v="42"/>
    <x v="0"/>
    <s v="Recovered"/>
    <x v="2"/>
    <x v="1"/>
    <n v="100"/>
    <x v="1"/>
    <x v="3"/>
    <x v="1"/>
  </r>
  <r>
    <x v="615"/>
    <n v="52"/>
    <x v="0"/>
    <x v="10"/>
    <x v="10"/>
    <x v="302"/>
    <x v="494"/>
    <x v="8"/>
    <x v="1"/>
    <n v="43"/>
    <x v="0"/>
    <s v="Stable"/>
    <x v="0"/>
    <x v="1"/>
    <n v="800"/>
    <x v="0"/>
    <x v="3"/>
    <x v="1"/>
  </r>
  <r>
    <x v="616"/>
    <n v="67"/>
    <x v="1"/>
    <x v="11"/>
    <x v="11"/>
    <x v="503"/>
    <x v="495"/>
    <x v="8"/>
    <x v="0"/>
    <n v="50"/>
    <x v="0"/>
    <s v="Recovered"/>
    <x v="1"/>
    <x v="0"/>
    <n v="20000"/>
    <x v="2"/>
    <x v="3"/>
    <x v="0"/>
  </r>
  <r>
    <x v="617"/>
    <n v="35"/>
    <x v="0"/>
    <x v="12"/>
    <x v="12"/>
    <x v="504"/>
    <x v="293"/>
    <x v="9"/>
    <x v="1"/>
    <n v="44"/>
    <x v="0"/>
    <s v="Recovered"/>
    <x v="0"/>
    <x v="0"/>
    <n v="12000"/>
    <x v="1"/>
    <x v="3"/>
    <x v="1"/>
  </r>
  <r>
    <x v="618"/>
    <n v="50"/>
    <x v="1"/>
    <x v="13"/>
    <x v="13"/>
    <x v="505"/>
    <x v="496"/>
    <x v="26"/>
    <x v="3"/>
    <n v="45"/>
    <x v="0"/>
    <s v="Recovered"/>
    <x v="1"/>
    <x v="0"/>
    <n v="6000"/>
    <x v="0"/>
    <x v="3"/>
    <x v="3"/>
  </r>
  <r>
    <x v="619"/>
    <n v="60"/>
    <x v="0"/>
    <x v="14"/>
    <x v="14"/>
    <x v="506"/>
    <x v="497"/>
    <x v="10"/>
    <x v="0"/>
    <n v="46"/>
    <x v="0"/>
    <s v="Stable"/>
    <x v="0"/>
    <x v="1"/>
    <n v="4000"/>
    <x v="0"/>
    <x v="3"/>
    <x v="0"/>
  </r>
  <r>
    <x v="620"/>
    <n v="48"/>
    <x v="0"/>
    <x v="0"/>
    <x v="0"/>
    <x v="507"/>
    <x v="498"/>
    <x v="19"/>
    <x v="0"/>
    <n v="47"/>
    <x v="1"/>
    <s v="Recovered"/>
    <x v="0"/>
    <x v="0"/>
    <n v="15000"/>
    <x v="0"/>
    <x v="3"/>
    <x v="0"/>
  </r>
  <r>
    <x v="621"/>
    <n v="65"/>
    <x v="1"/>
    <x v="1"/>
    <x v="1"/>
    <x v="508"/>
    <x v="499"/>
    <x v="1"/>
    <x v="3"/>
    <n v="45"/>
    <x v="0"/>
    <s v="Stable"/>
    <x v="1"/>
    <x v="1"/>
    <n v="2000"/>
    <x v="2"/>
    <x v="3"/>
    <x v="3"/>
  </r>
  <r>
    <x v="622"/>
    <n v="30"/>
    <x v="0"/>
    <x v="2"/>
    <x v="2"/>
    <x v="46"/>
    <x v="484"/>
    <x v="19"/>
    <x v="1"/>
    <n v="43"/>
    <x v="0"/>
    <s v="Recovered"/>
    <x v="2"/>
    <x v="1"/>
    <n v="500"/>
    <x v="1"/>
    <x v="3"/>
    <x v="1"/>
  </r>
  <r>
    <x v="623"/>
    <n v="70"/>
    <x v="1"/>
    <x v="3"/>
    <x v="3"/>
    <x v="167"/>
    <x v="20"/>
    <x v="3"/>
    <x v="1"/>
    <n v="50"/>
    <x v="1"/>
    <s v="Stable"/>
    <x v="3"/>
    <x v="0"/>
    <n v="10000"/>
    <x v="2"/>
    <x v="3"/>
    <x v="1"/>
  </r>
  <r>
    <x v="624"/>
    <n v="55"/>
    <x v="0"/>
    <x v="4"/>
    <x v="4"/>
    <x v="509"/>
    <x v="500"/>
    <x v="0"/>
    <x v="0"/>
    <n v="52"/>
    <x v="0"/>
    <s v="Recovered"/>
    <x v="0"/>
    <x v="1"/>
    <n v="25000"/>
    <x v="0"/>
    <x v="3"/>
    <x v="0"/>
  </r>
  <r>
    <x v="625"/>
    <n v="68"/>
    <x v="1"/>
    <x v="5"/>
    <x v="5"/>
    <x v="227"/>
    <x v="501"/>
    <x v="28"/>
    <x v="3"/>
    <n v="46"/>
    <x v="0"/>
    <s v="Stable"/>
    <x v="0"/>
    <x v="1"/>
    <n v="1000"/>
    <x v="2"/>
    <x v="3"/>
    <x v="3"/>
  </r>
  <r>
    <x v="626"/>
    <n v="45"/>
    <x v="0"/>
    <x v="6"/>
    <x v="6"/>
    <x v="34"/>
    <x v="502"/>
    <x v="6"/>
    <x v="0"/>
    <n v="48"/>
    <x v="0"/>
    <s v="Recovered"/>
    <x v="1"/>
    <x v="1"/>
    <n v="8000"/>
    <x v="0"/>
    <x v="3"/>
    <x v="0"/>
  </r>
  <r>
    <x v="627"/>
    <n v="40"/>
    <x v="1"/>
    <x v="7"/>
    <x v="7"/>
    <x v="509"/>
    <x v="503"/>
    <x v="20"/>
    <x v="0"/>
    <n v="48"/>
    <x v="0"/>
    <s v="Recovered"/>
    <x v="0"/>
    <x v="0"/>
    <n v="3000"/>
    <x v="0"/>
    <x v="3"/>
    <x v="0"/>
  </r>
  <r>
    <x v="628"/>
    <n v="78"/>
    <x v="0"/>
    <x v="8"/>
    <x v="8"/>
    <x v="510"/>
    <x v="504"/>
    <x v="0"/>
    <x v="2"/>
    <n v="50"/>
    <x v="1"/>
    <s v="Stable"/>
    <x v="3"/>
    <x v="1"/>
    <n v="18000"/>
    <x v="2"/>
    <x v="3"/>
    <x v="2"/>
  </r>
  <r>
    <x v="629"/>
    <n v="25"/>
    <x v="1"/>
    <x v="9"/>
    <x v="9"/>
    <x v="511"/>
    <x v="505"/>
    <x v="0"/>
    <x v="1"/>
    <n v="43"/>
    <x v="0"/>
    <s v="Recovered"/>
    <x v="2"/>
    <x v="0"/>
    <n v="100"/>
    <x v="1"/>
    <x v="3"/>
    <x v="1"/>
  </r>
  <r>
    <x v="630"/>
    <n v="52"/>
    <x v="0"/>
    <x v="10"/>
    <x v="10"/>
    <x v="512"/>
    <x v="506"/>
    <x v="13"/>
    <x v="1"/>
    <n v="44"/>
    <x v="0"/>
    <s v="Stable"/>
    <x v="0"/>
    <x v="0"/>
    <n v="800"/>
    <x v="0"/>
    <x v="3"/>
    <x v="0"/>
  </r>
  <r>
    <x v="631"/>
    <n v="58"/>
    <x v="1"/>
    <x v="11"/>
    <x v="11"/>
    <x v="149"/>
    <x v="507"/>
    <x v="16"/>
    <x v="2"/>
    <n v="51"/>
    <x v="0"/>
    <s v="Recovered"/>
    <x v="1"/>
    <x v="0"/>
    <n v="20000"/>
    <x v="0"/>
    <x v="3"/>
    <x v="2"/>
  </r>
  <r>
    <x v="632"/>
    <n v="32"/>
    <x v="0"/>
    <x v="12"/>
    <x v="12"/>
    <x v="180"/>
    <x v="508"/>
    <x v="17"/>
    <x v="0"/>
    <n v="45"/>
    <x v="0"/>
    <s v="Recovered"/>
    <x v="0"/>
    <x v="0"/>
    <n v="12000"/>
    <x v="1"/>
    <x v="3"/>
    <x v="0"/>
  </r>
  <r>
    <x v="633"/>
    <n v="55"/>
    <x v="1"/>
    <x v="13"/>
    <x v="13"/>
    <x v="513"/>
    <x v="509"/>
    <x v="25"/>
    <x v="3"/>
    <n v="46"/>
    <x v="0"/>
    <s v="Recovered"/>
    <x v="1"/>
    <x v="0"/>
    <n v="6000"/>
    <x v="0"/>
    <x v="3"/>
    <x v="3"/>
  </r>
  <r>
    <x v="634"/>
    <n v="65"/>
    <x v="0"/>
    <x v="14"/>
    <x v="14"/>
    <x v="259"/>
    <x v="251"/>
    <x v="22"/>
    <x v="1"/>
    <n v="47"/>
    <x v="0"/>
    <s v="Stable"/>
    <x v="0"/>
    <x v="1"/>
    <n v="4000"/>
    <x v="2"/>
    <x v="3"/>
    <x v="1"/>
  </r>
  <r>
    <x v="635"/>
    <n v="55"/>
    <x v="0"/>
    <x v="0"/>
    <x v="0"/>
    <x v="514"/>
    <x v="510"/>
    <x v="0"/>
    <x v="2"/>
    <n v="48"/>
    <x v="1"/>
    <s v="Recovered"/>
    <x v="1"/>
    <x v="0"/>
    <n v="15000"/>
    <x v="0"/>
    <x v="3"/>
    <x v="2"/>
  </r>
  <r>
    <x v="636"/>
    <n v="62"/>
    <x v="1"/>
    <x v="1"/>
    <x v="1"/>
    <x v="515"/>
    <x v="511"/>
    <x v="1"/>
    <x v="0"/>
    <n v="46"/>
    <x v="0"/>
    <s v="Stable"/>
    <x v="0"/>
    <x v="0"/>
    <n v="2000"/>
    <x v="2"/>
    <x v="3"/>
    <x v="2"/>
  </r>
  <r>
    <x v="637"/>
    <n v="35"/>
    <x v="0"/>
    <x v="2"/>
    <x v="2"/>
    <x v="516"/>
    <x v="512"/>
    <x v="19"/>
    <x v="0"/>
    <n v="44"/>
    <x v="1"/>
    <s v="Recovered"/>
    <x v="2"/>
    <x v="1"/>
    <n v="500"/>
    <x v="1"/>
    <x v="3"/>
    <x v="0"/>
  </r>
  <r>
    <x v="638"/>
    <n v="78"/>
    <x v="1"/>
    <x v="3"/>
    <x v="3"/>
    <x v="401"/>
    <x v="223"/>
    <x v="12"/>
    <x v="3"/>
    <n v="51"/>
    <x v="0"/>
    <s v="Stable"/>
    <x v="3"/>
    <x v="1"/>
    <n v="10000"/>
    <x v="2"/>
    <x v="3"/>
    <x v="3"/>
  </r>
  <r>
    <x v="639"/>
    <n v="53"/>
    <x v="0"/>
    <x v="4"/>
    <x v="4"/>
    <x v="517"/>
    <x v="369"/>
    <x v="4"/>
    <x v="0"/>
    <n v="53"/>
    <x v="1"/>
    <s v="Recovered"/>
    <x v="0"/>
    <x v="0"/>
    <n v="25000"/>
    <x v="0"/>
    <x v="3"/>
    <x v="0"/>
  </r>
  <r>
    <x v="640"/>
    <n v="72"/>
    <x v="1"/>
    <x v="5"/>
    <x v="5"/>
    <x v="518"/>
    <x v="513"/>
    <x v="5"/>
    <x v="3"/>
    <n v="47"/>
    <x v="0"/>
    <s v="Stable"/>
    <x v="0"/>
    <x v="1"/>
    <n v="1000"/>
    <x v="2"/>
    <x v="3"/>
    <x v="3"/>
  </r>
  <r>
    <x v="641"/>
    <n v="60"/>
    <x v="0"/>
    <x v="6"/>
    <x v="6"/>
    <x v="519"/>
    <x v="292"/>
    <x v="0"/>
    <x v="0"/>
    <n v="49"/>
    <x v="1"/>
    <s v="Recovered"/>
    <x v="1"/>
    <x v="1"/>
    <n v="8000"/>
    <x v="0"/>
    <x v="3"/>
    <x v="0"/>
  </r>
  <r>
    <x v="642"/>
    <n v="45"/>
    <x v="1"/>
    <x v="7"/>
    <x v="7"/>
    <x v="176"/>
    <x v="514"/>
    <x v="7"/>
    <x v="0"/>
    <n v="49"/>
    <x v="0"/>
    <s v="Recovered"/>
    <x v="0"/>
    <x v="1"/>
    <n v="3000"/>
    <x v="0"/>
    <x v="3"/>
    <x v="0"/>
  </r>
  <r>
    <x v="643"/>
    <n v="75"/>
    <x v="0"/>
    <x v="8"/>
    <x v="8"/>
    <x v="520"/>
    <x v="10"/>
    <x v="0"/>
    <x v="0"/>
    <n v="51"/>
    <x v="1"/>
    <s v="Stable"/>
    <x v="3"/>
    <x v="0"/>
    <n v="18000"/>
    <x v="2"/>
    <x v="3"/>
    <x v="0"/>
  </r>
  <r>
    <x v="644"/>
    <n v="28"/>
    <x v="1"/>
    <x v="9"/>
    <x v="9"/>
    <x v="521"/>
    <x v="400"/>
    <x v="0"/>
    <x v="3"/>
    <n v="44"/>
    <x v="0"/>
    <s v="Recovered"/>
    <x v="2"/>
    <x v="1"/>
    <n v="100"/>
    <x v="1"/>
    <x v="3"/>
    <x v="3"/>
  </r>
  <r>
    <x v="645"/>
    <n v="52"/>
    <x v="0"/>
    <x v="10"/>
    <x v="10"/>
    <x v="522"/>
    <x v="515"/>
    <x v="20"/>
    <x v="2"/>
    <n v="45"/>
    <x v="0"/>
    <s v="Stable"/>
    <x v="0"/>
    <x v="0"/>
    <n v="800"/>
    <x v="0"/>
    <x v="3"/>
    <x v="2"/>
  </r>
  <r>
    <x v="646"/>
    <n v="67"/>
    <x v="1"/>
    <x v="11"/>
    <x v="11"/>
    <x v="523"/>
    <x v="516"/>
    <x v="6"/>
    <x v="1"/>
    <n v="52"/>
    <x v="0"/>
    <s v="Recovered"/>
    <x v="1"/>
    <x v="1"/>
    <n v="20000"/>
    <x v="2"/>
    <x v="3"/>
    <x v="1"/>
  </r>
  <r>
    <x v="647"/>
    <n v="35"/>
    <x v="0"/>
    <x v="12"/>
    <x v="12"/>
    <x v="10"/>
    <x v="517"/>
    <x v="17"/>
    <x v="0"/>
    <n v="46"/>
    <x v="0"/>
    <s v="Recovered"/>
    <x v="0"/>
    <x v="1"/>
    <n v="12000"/>
    <x v="1"/>
    <x v="3"/>
    <x v="0"/>
  </r>
  <r>
    <x v="648"/>
    <n v="50"/>
    <x v="1"/>
    <x v="13"/>
    <x v="13"/>
    <x v="524"/>
    <x v="207"/>
    <x v="26"/>
    <x v="0"/>
    <n v="47"/>
    <x v="0"/>
    <s v="Recovered"/>
    <x v="1"/>
    <x v="1"/>
    <n v="6000"/>
    <x v="0"/>
    <x v="3"/>
    <x v="0"/>
  </r>
  <r>
    <x v="649"/>
    <n v="60"/>
    <x v="0"/>
    <x v="14"/>
    <x v="14"/>
    <x v="525"/>
    <x v="518"/>
    <x v="24"/>
    <x v="2"/>
    <n v="48"/>
    <x v="0"/>
    <s v="Stable"/>
    <x v="0"/>
    <x v="0"/>
    <n v="4000"/>
    <x v="0"/>
    <x v="3"/>
    <x v="2"/>
  </r>
  <r>
    <x v="650"/>
    <n v="65"/>
    <x v="1"/>
    <x v="1"/>
    <x v="1"/>
    <x v="526"/>
    <x v="519"/>
    <x v="20"/>
    <x v="0"/>
    <n v="47"/>
    <x v="0"/>
    <s v="Stable"/>
    <x v="1"/>
    <x v="1"/>
    <n v="2000"/>
    <x v="2"/>
    <x v="3"/>
    <x v="0"/>
  </r>
  <r>
    <x v="651"/>
    <n v="30"/>
    <x v="0"/>
    <x v="2"/>
    <x v="2"/>
    <x v="493"/>
    <x v="520"/>
    <x v="2"/>
    <x v="2"/>
    <n v="45"/>
    <x v="0"/>
    <s v="Recovered"/>
    <x v="2"/>
    <x v="1"/>
    <n v="500"/>
    <x v="1"/>
    <x v="3"/>
    <x v="2"/>
  </r>
  <r>
    <x v="652"/>
    <n v="70"/>
    <x v="1"/>
    <x v="3"/>
    <x v="3"/>
    <x v="527"/>
    <x v="521"/>
    <x v="3"/>
    <x v="2"/>
    <n v="52"/>
    <x v="1"/>
    <s v="Stable"/>
    <x v="3"/>
    <x v="1"/>
    <n v="10000"/>
    <x v="2"/>
    <x v="3"/>
    <x v="2"/>
  </r>
  <r>
    <x v="653"/>
    <n v="55"/>
    <x v="0"/>
    <x v="4"/>
    <x v="4"/>
    <x v="528"/>
    <x v="522"/>
    <x v="4"/>
    <x v="1"/>
    <n v="54"/>
    <x v="0"/>
    <s v="Recovered"/>
    <x v="0"/>
    <x v="0"/>
    <n v="25000"/>
    <x v="0"/>
    <x v="3"/>
    <x v="1"/>
  </r>
  <r>
    <x v="654"/>
    <n v="68"/>
    <x v="1"/>
    <x v="5"/>
    <x v="5"/>
    <x v="529"/>
    <x v="523"/>
    <x v="18"/>
    <x v="2"/>
    <n v="48"/>
    <x v="0"/>
    <s v="Stable"/>
    <x v="0"/>
    <x v="1"/>
    <n v="1000"/>
    <x v="2"/>
    <x v="3"/>
    <x v="2"/>
  </r>
  <r>
    <x v="655"/>
    <n v="45"/>
    <x v="0"/>
    <x v="6"/>
    <x v="6"/>
    <x v="432"/>
    <x v="524"/>
    <x v="21"/>
    <x v="1"/>
    <n v="50"/>
    <x v="0"/>
    <s v="Recovered"/>
    <x v="1"/>
    <x v="1"/>
    <n v="8000"/>
    <x v="0"/>
    <x v="3"/>
    <x v="0"/>
  </r>
  <r>
    <x v="656"/>
    <n v="40"/>
    <x v="1"/>
    <x v="7"/>
    <x v="7"/>
    <x v="530"/>
    <x v="525"/>
    <x v="19"/>
    <x v="3"/>
    <n v="50"/>
    <x v="0"/>
    <s v="Recovered"/>
    <x v="0"/>
    <x v="1"/>
    <n v="3000"/>
    <x v="0"/>
    <x v="3"/>
    <x v="3"/>
  </r>
  <r>
    <x v="657"/>
    <n v="78"/>
    <x v="0"/>
    <x v="8"/>
    <x v="8"/>
    <x v="531"/>
    <x v="526"/>
    <x v="0"/>
    <x v="0"/>
    <n v="52"/>
    <x v="1"/>
    <s v="Stable"/>
    <x v="3"/>
    <x v="1"/>
    <n v="18000"/>
    <x v="2"/>
    <x v="3"/>
    <x v="0"/>
  </r>
  <r>
    <x v="658"/>
    <n v="25"/>
    <x v="1"/>
    <x v="9"/>
    <x v="9"/>
    <x v="532"/>
    <x v="144"/>
    <x v="0"/>
    <x v="2"/>
    <n v="45"/>
    <x v="0"/>
    <s v="Recovered"/>
    <x v="2"/>
    <x v="0"/>
    <n v="100"/>
    <x v="1"/>
    <x v="3"/>
    <x v="2"/>
  </r>
  <r>
    <x v="659"/>
    <n v="52"/>
    <x v="0"/>
    <x v="10"/>
    <x v="10"/>
    <x v="533"/>
    <x v="527"/>
    <x v="8"/>
    <x v="2"/>
    <n v="46"/>
    <x v="0"/>
    <s v="Stable"/>
    <x v="0"/>
    <x v="1"/>
    <n v="800"/>
    <x v="0"/>
    <x v="3"/>
    <x v="2"/>
  </r>
  <r>
    <x v="660"/>
    <n v="58"/>
    <x v="1"/>
    <x v="11"/>
    <x v="11"/>
    <x v="534"/>
    <x v="528"/>
    <x v="8"/>
    <x v="3"/>
    <n v="53"/>
    <x v="0"/>
    <s v="Recovered"/>
    <x v="1"/>
    <x v="0"/>
    <n v="20000"/>
    <x v="0"/>
    <x v="3"/>
    <x v="1"/>
  </r>
  <r>
    <x v="661"/>
    <n v="32"/>
    <x v="0"/>
    <x v="12"/>
    <x v="12"/>
    <x v="291"/>
    <x v="529"/>
    <x v="23"/>
    <x v="1"/>
    <n v="47"/>
    <x v="0"/>
    <s v="Recovered"/>
    <x v="0"/>
    <x v="1"/>
    <n v="12000"/>
    <x v="1"/>
    <x v="3"/>
    <x v="1"/>
  </r>
  <r>
    <x v="662"/>
    <n v="55"/>
    <x v="1"/>
    <x v="13"/>
    <x v="13"/>
    <x v="535"/>
    <x v="530"/>
    <x v="26"/>
    <x v="0"/>
    <n v="48"/>
    <x v="0"/>
    <s v="Recovered"/>
    <x v="1"/>
    <x v="1"/>
    <n v="6000"/>
    <x v="0"/>
    <x v="3"/>
    <x v="0"/>
  </r>
  <r>
    <x v="663"/>
    <n v="65"/>
    <x v="0"/>
    <x v="14"/>
    <x v="14"/>
    <x v="6"/>
    <x v="531"/>
    <x v="10"/>
    <x v="1"/>
    <n v="49"/>
    <x v="0"/>
    <s v="Stable"/>
    <x v="0"/>
    <x v="1"/>
    <n v="4000"/>
    <x v="2"/>
    <x v="3"/>
    <x v="0"/>
  </r>
  <r>
    <x v="664"/>
    <n v="55"/>
    <x v="0"/>
    <x v="0"/>
    <x v="0"/>
    <x v="536"/>
    <x v="532"/>
    <x v="18"/>
    <x v="1"/>
    <n v="50"/>
    <x v="1"/>
    <s v="Recovered"/>
    <x v="1"/>
    <x v="0"/>
    <n v="15000"/>
    <x v="0"/>
    <x v="3"/>
    <x v="1"/>
  </r>
  <r>
    <x v="665"/>
    <n v="62"/>
    <x v="1"/>
    <x v="1"/>
    <x v="1"/>
    <x v="537"/>
    <x v="533"/>
    <x v="1"/>
    <x v="3"/>
    <n v="48"/>
    <x v="0"/>
    <s v="Stable"/>
    <x v="0"/>
    <x v="1"/>
    <n v="2000"/>
    <x v="2"/>
    <x v="3"/>
    <x v="3"/>
  </r>
  <r>
    <x v="666"/>
    <n v="35"/>
    <x v="0"/>
    <x v="2"/>
    <x v="2"/>
    <x v="436"/>
    <x v="477"/>
    <x v="2"/>
    <x v="3"/>
    <n v="46"/>
    <x v="1"/>
    <s v="Recovered"/>
    <x v="2"/>
    <x v="1"/>
    <n v="500"/>
    <x v="1"/>
    <x v="3"/>
    <x v="3"/>
  </r>
  <r>
    <x v="667"/>
    <n v="78"/>
    <x v="1"/>
    <x v="3"/>
    <x v="3"/>
    <x v="34"/>
    <x v="387"/>
    <x v="12"/>
    <x v="0"/>
    <n v="53"/>
    <x v="0"/>
    <s v="Stable"/>
    <x v="3"/>
    <x v="0"/>
    <n v="10000"/>
    <x v="2"/>
    <x v="3"/>
    <x v="0"/>
  </r>
  <r>
    <x v="668"/>
    <n v="53"/>
    <x v="0"/>
    <x v="4"/>
    <x v="4"/>
    <x v="312"/>
    <x v="534"/>
    <x v="4"/>
    <x v="1"/>
    <n v="55"/>
    <x v="1"/>
    <s v="Recovered"/>
    <x v="0"/>
    <x v="1"/>
    <n v="25000"/>
    <x v="0"/>
    <x v="3"/>
    <x v="0"/>
  </r>
  <r>
    <x v="669"/>
    <n v="72"/>
    <x v="1"/>
    <x v="5"/>
    <x v="5"/>
    <x v="487"/>
    <x v="0"/>
    <x v="28"/>
    <x v="1"/>
    <n v="49"/>
    <x v="0"/>
    <s v="Stable"/>
    <x v="0"/>
    <x v="1"/>
    <n v="1000"/>
    <x v="2"/>
    <x v="3"/>
    <x v="0"/>
  </r>
  <r>
    <x v="670"/>
    <n v="60"/>
    <x v="0"/>
    <x v="6"/>
    <x v="6"/>
    <x v="538"/>
    <x v="98"/>
    <x v="21"/>
    <x v="1"/>
    <n v="51"/>
    <x v="1"/>
    <s v="Recovered"/>
    <x v="1"/>
    <x v="1"/>
    <n v="8000"/>
    <x v="0"/>
    <x v="3"/>
    <x v="1"/>
  </r>
  <r>
    <x v="671"/>
    <n v="45"/>
    <x v="1"/>
    <x v="7"/>
    <x v="7"/>
    <x v="539"/>
    <x v="316"/>
    <x v="19"/>
    <x v="0"/>
    <n v="51"/>
    <x v="0"/>
    <s v="Recovered"/>
    <x v="0"/>
    <x v="1"/>
    <n v="3000"/>
    <x v="0"/>
    <x v="3"/>
    <x v="0"/>
  </r>
  <r>
    <x v="672"/>
    <n v="75"/>
    <x v="0"/>
    <x v="8"/>
    <x v="8"/>
    <x v="354"/>
    <x v="535"/>
    <x v="0"/>
    <x v="0"/>
    <n v="53"/>
    <x v="1"/>
    <s v="Stable"/>
    <x v="3"/>
    <x v="1"/>
    <n v="18000"/>
    <x v="2"/>
    <x v="3"/>
    <x v="0"/>
  </r>
  <r>
    <x v="673"/>
    <n v="28"/>
    <x v="1"/>
    <x v="9"/>
    <x v="9"/>
    <x v="540"/>
    <x v="396"/>
    <x v="23"/>
    <x v="1"/>
    <n v="46"/>
    <x v="0"/>
    <s v="Recovered"/>
    <x v="2"/>
    <x v="1"/>
    <n v="100"/>
    <x v="1"/>
    <x v="3"/>
    <x v="1"/>
  </r>
  <r>
    <x v="674"/>
    <n v="52"/>
    <x v="0"/>
    <x v="10"/>
    <x v="10"/>
    <x v="525"/>
    <x v="536"/>
    <x v="15"/>
    <x v="2"/>
    <n v="47"/>
    <x v="0"/>
    <s v="Stable"/>
    <x v="0"/>
    <x v="0"/>
    <n v="800"/>
    <x v="0"/>
    <x v="3"/>
    <x v="2"/>
  </r>
  <r>
    <x v="675"/>
    <n v="67"/>
    <x v="1"/>
    <x v="11"/>
    <x v="11"/>
    <x v="372"/>
    <x v="67"/>
    <x v="0"/>
    <x v="0"/>
    <n v="54"/>
    <x v="0"/>
    <s v="Recovered"/>
    <x v="1"/>
    <x v="1"/>
    <n v="20000"/>
    <x v="2"/>
    <x v="3"/>
    <x v="0"/>
  </r>
  <r>
    <x v="676"/>
    <n v="35"/>
    <x v="0"/>
    <x v="12"/>
    <x v="12"/>
    <x v="169"/>
    <x v="537"/>
    <x v="17"/>
    <x v="0"/>
    <n v="48"/>
    <x v="0"/>
    <s v="Recovered"/>
    <x v="0"/>
    <x v="1"/>
    <n v="12000"/>
    <x v="1"/>
    <x v="3"/>
    <x v="0"/>
  </r>
  <r>
    <x v="677"/>
    <n v="50"/>
    <x v="1"/>
    <x v="13"/>
    <x v="13"/>
    <x v="435"/>
    <x v="538"/>
    <x v="26"/>
    <x v="0"/>
    <n v="49"/>
    <x v="0"/>
    <s v="Recovered"/>
    <x v="1"/>
    <x v="1"/>
    <n v="6000"/>
    <x v="0"/>
    <x v="3"/>
    <x v="0"/>
  </r>
  <r>
    <x v="678"/>
    <n v="60"/>
    <x v="0"/>
    <x v="14"/>
    <x v="14"/>
    <x v="541"/>
    <x v="19"/>
    <x v="10"/>
    <x v="1"/>
    <n v="50"/>
    <x v="0"/>
    <s v="Stable"/>
    <x v="0"/>
    <x v="0"/>
    <n v="4000"/>
    <x v="0"/>
    <x v="3"/>
    <x v="0"/>
  </r>
  <r>
    <x v="679"/>
    <n v="48"/>
    <x v="0"/>
    <x v="0"/>
    <x v="0"/>
    <x v="535"/>
    <x v="539"/>
    <x v="22"/>
    <x v="0"/>
    <n v="51"/>
    <x v="1"/>
    <s v="Recovered"/>
    <x v="0"/>
    <x v="1"/>
    <n v="15000"/>
    <x v="0"/>
    <x v="3"/>
    <x v="0"/>
  </r>
  <r>
    <x v="680"/>
    <n v="65"/>
    <x v="1"/>
    <x v="1"/>
    <x v="1"/>
    <x v="292"/>
    <x v="540"/>
    <x v="20"/>
    <x v="3"/>
    <n v="49"/>
    <x v="0"/>
    <s v="Stable"/>
    <x v="1"/>
    <x v="0"/>
    <n v="2000"/>
    <x v="2"/>
    <x v="3"/>
    <x v="3"/>
  </r>
  <r>
    <x v="681"/>
    <n v="30"/>
    <x v="0"/>
    <x v="2"/>
    <x v="2"/>
    <x v="542"/>
    <x v="541"/>
    <x v="19"/>
    <x v="1"/>
    <n v="47"/>
    <x v="0"/>
    <s v="Recovered"/>
    <x v="2"/>
    <x v="1"/>
    <n v="500"/>
    <x v="1"/>
    <x v="3"/>
    <x v="1"/>
  </r>
  <r>
    <x v="682"/>
    <n v="70"/>
    <x v="1"/>
    <x v="3"/>
    <x v="3"/>
    <x v="543"/>
    <x v="542"/>
    <x v="4"/>
    <x v="2"/>
    <n v="54"/>
    <x v="1"/>
    <s v="Stable"/>
    <x v="3"/>
    <x v="0"/>
    <n v="10000"/>
    <x v="2"/>
    <x v="3"/>
    <x v="2"/>
  </r>
  <r>
    <x v="683"/>
    <n v="55"/>
    <x v="0"/>
    <x v="4"/>
    <x v="4"/>
    <x v="294"/>
    <x v="268"/>
    <x v="4"/>
    <x v="3"/>
    <n v="56"/>
    <x v="0"/>
    <s v="Recovered"/>
    <x v="0"/>
    <x v="0"/>
    <n v="25000"/>
    <x v="0"/>
    <x v="3"/>
    <x v="1"/>
  </r>
  <r>
    <x v="684"/>
    <n v="68"/>
    <x v="1"/>
    <x v="5"/>
    <x v="5"/>
    <x v="544"/>
    <x v="240"/>
    <x v="18"/>
    <x v="2"/>
    <n v="50"/>
    <x v="0"/>
    <s v="Stable"/>
    <x v="0"/>
    <x v="0"/>
    <n v="1000"/>
    <x v="2"/>
    <x v="3"/>
    <x v="2"/>
  </r>
  <r>
    <x v="685"/>
    <n v="45"/>
    <x v="0"/>
    <x v="6"/>
    <x v="6"/>
    <x v="454"/>
    <x v="543"/>
    <x v="22"/>
    <x v="1"/>
    <n v="52"/>
    <x v="0"/>
    <s v="Recovered"/>
    <x v="1"/>
    <x v="0"/>
    <n v="8000"/>
    <x v="0"/>
    <x v="3"/>
    <x v="1"/>
  </r>
  <r>
    <x v="686"/>
    <n v="40"/>
    <x v="1"/>
    <x v="7"/>
    <x v="7"/>
    <x v="71"/>
    <x v="129"/>
    <x v="7"/>
    <x v="0"/>
    <n v="52"/>
    <x v="0"/>
    <s v="Recovered"/>
    <x v="0"/>
    <x v="1"/>
    <n v="3000"/>
    <x v="0"/>
    <x v="3"/>
    <x v="0"/>
  </r>
  <r>
    <x v="687"/>
    <n v="78"/>
    <x v="0"/>
    <x v="8"/>
    <x v="8"/>
    <x v="545"/>
    <x v="200"/>
    <x v="14"/>
    <x v="0"/>
    <n v="54"/>
    <x v="1"/>
    <s v="Stable"/>
    <x v="3"/>
    <x v="1"/>
    <n v="18000"/>
    <x v="2"/>
    <x v="3"/>
    <x v="0"/>
  </r>
  <r>
    <x v="688"/>
    <n v="25"/>
    <x v="1"/>
    <x v="9"/>
    <x v="9"/>
    <x v="360"/>
    <x v="544"/>
    <x v="23"/>
    <x v="3"/>
    <n v="47"/>
    <x v="0"/>
    <s v="Recovered"/>
    <x v="2"/>
    <x v="1"/>
    <n v="100"/>
    <x v="1"/>
    <x v="3"/>
    <x v="3"/>
  </r>
  <r>
    <x v="689"/>
    <n v="52"/>
    <x v="0"/>
    <x v="10"/>
    <x v="10"/>
    <x v="546"/>
    <x v="545"/>
    <x v="15"/>
    <x v="2"/>
    <n v="48"/>
    <x v="0"/>
    <s v="Stable"/>
    <x v="0"/>
    <x v="1"/>
    <n v="800"/>
    <x v="0"/>
    <x v="3"/>
    <x v="2"/>
  </r>
  <r>
    <x v="690"/>
    <n v="58"/>
    <x v="1"/>
    <x v="11"/>
    <x v="11"/>
    <x v="547"/>
    <x v="478"/>
    <x v="16"/>
    <x v="2"/>
    <n v="55"/>
    <x v="0"/>
    <s v="Recovered"/>
    <x v="1"/>
    <x v="0"/>
    <n v="20000"/>
    <x v="0"/>
    <x v="3"/>
    <x v="2"/>
  </r>
  <r>
    <x v="691"/>
    <n v="32"/>
    <x v="0"/>
    <x v="12"/>
    <x v="12"/>
    <x v="548"/>
    <x v="546"/>
    <x v="9"/>
    <x v="2"/>
    <n v="49"/>
    <x v="0"/>
    <s v="Recovered"/>
    <x v="0"/>
    <x v="1"/>
    <n v="12000"/>
    <x v="1"/>
    <x v="3"/>
    <x v="2"/>
  </r>
  <r>
    <x v="692"/>
    <n v="55"/>
    <x v="1"/>
    <x v="13"/>
    <x v="13"/>
    <x v="549"/>
    <x v="547"/>
    <x v="26"/>
    <x v="1"/>
    <n v="50"/>
    <x v="0"/>
    <s v="Recovered"/>
    <x v="1"/>
    <x v="1"/>
    <n v="6000"/>
    <x v="0"/>
    <x v="3"/>
    <x v="1"/>
  </r>
  <r>
    <x v="693"/>
    <n v="65"/>
    <x v="0"/>
    <x v="14"/>
    <x v="14"/>
    <x v="550"/>
    <x v="548"/>
    <x v="22"/>
    <x v="1"/>
    <n v="51"/>
    <x v="0"/>
    <s v="Stable"/>
    <x v="0"/>
    <x v="1"/>
    <n v="4000"/>
    <x v="2"/>
    <x v="3"/>
    <x v="1"/>
  </r>
  <r>
    <x v="694"/>
    <n v="55"/>
    <x v="0"/>
    <x v="0"/>
    <x v="0"/>
    <x v="441"/>
    <x v="437"/>
    <x v="21"/>
    <x v="3"/>
    <n v="52"/>
    <x v="1"/>
    <s v="Recovered"/>
    <x v="1"/>
    <x v="1"/>
    <n v="15000"/>
    <x v="0"/>
    <x v="3"/>
    <x v="3"/>
  </r>
  <r>
    <x v="695"/>
    <n v="62"/>
    <x v="1"/>
    <x v="1"/>
    <x v="1"/>
    <x v="199"/>
    <x v="4"/>
    <x v="10"/>
    <x v="3"/>
    <n v="50"/>
    <x v="0"/>
    <s v="Stable"/>
    <x v="0"/>
    <x v="1"/>
    <n v="2000"/>
    <x v="2"/>
    <x v="3"/>
    <x v="3"/>
  </r>
  <r>
    <x v="696"/>
    <n v="35"/>
    <x v="0"/>
    <x v="2"/>
    <x v="2"/>
    <x v="20"/>
    <x v="549"/>
    <x v="26"/>
    <x v="1"/>
    <n v="48"/>
    <x v="1"/>
    <s v="Recovered"/>
    <x v="2"/>
    <x v="1"/>
    <n v="500"/>
    <x v="1"/>
    <x v="3"/>
    <x v="1"/>
  </r>
  <r>
    <x v="697"/>
    <n v="78"/>
    <x v="1"/>
    <x v="3"/>
    <x v="3"/>
    <x v="355"/>
    <x v="550"/>
    <x v="4"/>
    <x v="2"/>
    <n v="55"/>
    <x v="0"/>
    <s v="Stable"/>
    <x v="3"/>
    <x v="0"/>
    <n v="10000"/>
    <x v="2"/>
    <x v="3"/>
    <x v="2"/>
  </r>
  <r>
    <x v="698"/>
    <n v="53"/>
    <x v="0"/>
    <x v="4"/>
    <x v="4"/>
    <x v="551"/>
    <x v="551"/>
    <x v="13"/>
    <x v="0"/>
    <n v="57"/>
    <x v="1"/>
    <s v="Recovered"/>
    <x v="0"/>
    <x v="1"/>
    <n v="25000"/>
    <x v="0"/>
    <x v="3"/>
    <x v="0"/>
  </r>
  <r>
    <x v="699"/>
    <n v="72"/>
    <x v="1"/>
    <x v="5"/>
    <x v="5"/>
    <x v="552"/>
    <x v="552"/>
    <x v="18"/>
    <x v="2"/>
    <n v="51"/>
    <x v="0"/>
    <s v="Stable"/>
    <x v="0"/>
    <x v="1"/>
    <n v="1000"/>
    <x v="2"/>
    <x v="3"/>
    <x v="2"/>
  </r>
  <r>
    <x v="700"/>
    <n v="60"/>
    <x v="0"/>
    <x v="6"/>
    <x v="6"/>
    <x v="349"/>
    <x v="553"/>
    <x v="22"/>
    <x v="0"/>
    <n v="53"/>
    <x v="1"/>
    <s v="Recovered"/>
    <x v="1"/>
    <x v="0"/>
    <n v="8000"/>
    <x v="0"/>
    <x v="3"/>
    <x v="0"/>
  </r>
  <r>
    <x v="701"/>
    <n v="45"/>
    <x v="1"/>
    <x v="7"/>
    <x v="7"/>
    <x v="553"/>
    <x v="554"/>
    <x v="18"/>
    <x v="1"/>
    <n v="53"/>
    <x v="0"/>
    <s v="Recovered"/>
    <x v="0"/>
    <x v="0"/>
    <n v="3000"/>
    <x v="0"/>
    <x v="3"/>
    <x v="1"/>
  </r>
  <r>
    <x v="702"/>
    <n v="75"/>
    <x v="0"/>
    <x v="8"/>
    <x v="8"/>
    <x v="117"/>
    <x v="555"/>
    <x v="14"/>
    <x v="2"/>
    <n v="55"/>
    <x v="1"/>
    <s v="Stable"/>
    <x v="3"/>
    <x v="1"/>
    <n v="18000"/>
    <x v="2"/>
    <x v="3"/>
    <x v="2"/>
  </r>
  <r>
    <x v="703"/>
    <n v="28"/>
    <x v="1"/>
    <x v="9"/>
    <x v="9"/>
    <x v="108"/>
    <x v="556"/>
    <x v="23"/>
    <x v="2"/>
    <n v="48"/>
    <x v="0"/>
    <s v="Recovered"/>
    <x v="2"/>
    <x v="1"/>
    <n v="100"/>
    <x v="1"/>
    <x v="3"/>
    <x v="2"/>
  </r>
  <r>
    <x v="704"/>
    <n v="52"/>
    <x v="0"/>
    <x v="10"/>
    <x v="10"/>
    <x v="554"/>
    <x v="461"/>
    <x v="15"/>
    <x v="0"/>
    <n v="49"/>
    <x v="0"/>
    <s v="Stable"/>
    <x v="0"/>
    <x v="0"/>
    <n v="800"/>
    <x v="0"/>
    <x v="3"/>
    <x v="0"/>
  </r>
  <r>
    <x v="705"/>
    <n v="67"/>
    <x v="1"/>
    <x v="11"/>
    <x v="11"/>
    <x v="555"/>
    <x v="124"/>
    <x v="0"/>
    <x v="1"/>
    <n v="56"/>
    <x v="0"/>
    <s v="Recovered"/>
    <x v="1"/>
    <x v="1"/>
    <n v="20000"/>
    <x v="2"/>
    <x v="3"/>
    <x v="1"/>
  </r>
  <r>
    <x v="706"/>
    <n v="35"/>
    <x v="0"/>
    <x v="12"/>
    <x v="12"/>
    <x v="556"/>
    <x v="557"/>
    <x v="17"/>
    <x v="1"/>
    <n v="50"/>
    <x v="0"/>
    <s v="Recovered"/>
    <x v="0"/>
    <x v="1"/>
    <n v="12000"/>
    <x v="1"/>
    <x v="3"/>
    <x v="1"/>
  </r>
  <r>
    <x v="707"/>
    <n v="50"/>
    <x v="1"/>
    <x v="13"/>
    <x v="13"/>
    <x v="217"/>
    <x v="558"/>
    <x v="25"/>
    <x v="2"/>
    <n v="51"/>
    <x v="0"/>
    <s v="Recovered"/>
    <x v="1"/>
    <x v="0"/>
    <n v="6000"/>
    <x v="0"/>
    <x v="3"/>
    <x v="2"/>
  </r>
  <r>
    <x v="708"/>
    <n v="60"/>
    <x v="0"/>
    <x v="14"/>
    <x v="14"/>
    <x v="557"/>
    <x v="559"/>
    <x v="24"/>
    <x v="3"/>
    <n v="52"/>
    <x v="0"/>
    <s v="Stable"/>
    <x v="0"/>
    <x v="0"/>
    <n v="4000"/>
    <x v="0"/>
    <x v="3"/>
    <x v="3"/>
  </r>
  <r>
    <x v="709"/>
    <n v="48"/>
    <x v="0"/>
    <x v="0"/>
    <x v="0"/>
    <x v="558"/>
    <x v="560"/>
    <x v="22"/>
    <x v="3"/>
    <n v="53"/>
    <x v="1"/>
    <s v="Recovered"/>
    <x v="0"/>
    <x v="1"/>
    <n v="15000"/>
    <x v="0"/>
    <x v="3"/>
    <x v="1"/>
  </r>
  <r>
    <x v="710"/>
    <n v="30"/>
    <x v="0"/>
    <x v="2"/>
    <x v="2"/>
    <x v="559"/>
    <x v="156"/>
    <x v="26"/>
    <x v="3"/>
    <n v="49"/>
    <x v="0"/>
    <s v="Recovered"/>
    <x v="2"/>
    <x v="1"/>
    <n v="500"/>
    <x v="1"/>
    <x v="3"/>
    <x v="3"/>
  </r>
  <r>
    <x v="711"/>
    <n v="70"/>
    <x v="1"/>
    <x v="3"/>
    <x v="3"/>
    <x v="412"/>
    <x v="347"/>
    <x v="4"/>
    <x v="1"/>
    <n v="56"/>
    <x v="1"/>
    <s v="Stable"/>
    <x v="3"/>
    <x v="1"/>
    <n v="10000"/>
    <x v="2"/>
    <x v="3"/>
    <x v="0"/>
  </r>
  <r>
    <x v="712"/>
    <n v="55"/>
    <x v="0"/>
    <x v="4"/>
    <x v="4"/>
    <x v="458"/>
    <x v="561"/>
    <x v="13"/>
    <x v="0"/>
    <n v="58"/>
    <x v="0"/>
    <s v="Recovered"/>
    <x v="0"/>
    <x v="0"/>
    <n v="25000"/>
    <x v="0"/>
    <x v="3"/>
    <x v="0"/>
  </r>
  <r>
    <x v="713"/>
    <n v="68"/>
    <x v="1"/>
    <x v="5"/>
    <x v="5"/>
    <x v="560"/>
    <x v="562"/>
    <x v="5"/>
    <x v="1"/>
    <n v="52"/>
    <x v="0"/>
    <s v="Stable"/>
    <x v="0"/>
    <x v="1"/>
    <n v="1000"/>
    <x v="2"/>
    <x v="3"/>
    <x v="1"/>
  </r>
  <r>
    <x v="714"/>
    <n v="45"/>
    <x v="0"/>
    <x v="6"/>
    <x v="6"/>
    <x v="561"/>
    <x v="358"/>
    <x v="22"/>
    <x v="1"/>
    <n v="54"/>
    <x v="0"/>
    <s v="Recovered"/>
    <x v="1"/>
    <x v="0"/>
    <n v="8000"/>
    <x v="0"/>
    <x v="3"/>
    <x v="0"/>
  </r>
  <r>
    <x v="715"/>
    <n v="40"/>
    <x v="1"/>
    <x v="7"/>
    <x v="7"/>
    <x v="562"/>
    <x v="394"/>
    <x v="2"/>
    <x v="3"/>
    <n v="54"/>
    <x v="0"/>
    <s v="Recovered"/>
    <x v="0"/>
    <x v="0"/>
    <n v="3000"/>
    <x v="0"/>
    <x v="3"/>
    <x v="3"/>
  </r>
  <r>
    <x v="716"/>
    <n v="78"/>
    <x v="0"/>
    <x v="8"/>
    <x v="8"/>
    <x v="563"/>
    <x v="560"/>
    <x v="0"/>
    <x v="3"/>
    <n v="56"/>
    <x v="1"/>
    <s v="Stable"/>
    <x v="3"/>
    <x v="1"/>
    <n v="18000"/>
    <x v="2"/>
    <x v="3"/>
    <x v="1"/>
  </r>
  <r>
    <x v="717"/>
    <n v="25"/>
    <x v="1"/>
    <x v="9"/>
    <x v="9"/>
    <x v="564"/>
    <x v="563"/>
    <x v="0"/>
    <x v="2"/>
    <n v="49"/>
    <x v="0"/>
    <s v="Recovered"/>
    <x v="2"/>
    <x v="1"/>
    <n v="100"/>
    <x v="1"/>
    <x v="3"/>
    <x v="2"/>
  </r>
  <r>
    <x v="718"/>
    <n v="52"/>
    <x v="0"/>
    <x v="10"/>
    <x v="10"/>
    <x v="565"/>
    <x v="564"/>
    <x v="15"/>
    <x v="3"/>
    <n v="50"/>
    <x v="0"/>
    <s v="Stable"/>
    <x v="0"/>
    <x v="1"/>
    <n v="800"/>
    <x v="0"/>
    <x v="3"/>
    <x v="3"/>
  </r>
  <r>
    <x v="719"/>
    <n v="58"/>
    <x v="1"/>
    <x v="11"/>
    <x v="11"/>
    <x v="566"/>
    <x v="565"/>
    <x v="16"/>
    <x v="3"/>
    <n v="57"/>
    <x v="0"/>
    <s v="Recovered"/>
    <x v="1"/>
    <x v="1"/>
    <n v="20000"/>
    <x v="0"/>
    <x v="3"/>
    <x v="3"/>
  </r>
  <r>
    <x v="720"/>
    <n v="32"/>
    <x v="0"/>
    <x v="12"/>
    <x v="12"/>
    <x v="567"/>
    <x v="566"/>
    <x v="17"/>
    <x v="3"/>
    <n v="51"/>
    <x v="0"/>
    <s v="Recovered"/>
    <x v="0"/>
    <x v="1"/>
    <n v="12000"/>
    <x v="1"/>
    <x v="3"/>
    <x v="3"/>
  </r>
  <r>
    <x v="721"/>
    <n v="55"/>
    <x v="1"/>
    <x v="13"/>
    <x v="13"/>
    <x v="568"/>
    <x v="567"/>
    <x v="18"/>
    <x v="3"/>
    <n v="52"/>
    <x v="0"/>
    <s v="Recovered"/>
    <x v="1"/>
    <x v="0"/>
    <n v="6000"/>
    <x v="0"/>
    <x v="3"/>
    <x v="3"/>
  </r>
  <r>
    <x v="722"/>
    <n v="65"/>
    <x v="0"/>
    <x v="14"/>
    <x v="14"/>
    <x v="569"/>
    <x v="568"/>
    <x v="24"/>
    <x v="3"/>
    <n v="53"/>
    <x v="0"/>
    <s v="Stable"/>
    <x v="0"/>
    <x v="1"/>
    <n v="4000"/>
    <x v="2"/>
    <x v="3"/>
    <x v="1"/>
  </r>
  <r>
    <x v="723"/>
    <n v="55"/>
    <x v="0"/>
    <x v="0"/>
    <x v="0"/>
    <x v="570"/>
    <x v="432"/>
    <x v="22"/>
    <x v="3"/>
    <n v="54"/>
    <x v="1"/>
    <s v="Recovered"/>
    <x v="1"/>
    <x v="0"/>
    <n v="15000"/>
    <x v="0"/>
    <x v="3"/>
    <x v="3"/>
  </r>
  <r>
    <x v="724"/>
    <n v="62"/>
    <x v="1"/>
    <x v="1"/>
    <x v="1"/>
    <x v="571"/>
    <x v="89"/>
    <x v="22"/>
    <x v="3"/>
    <n v="52"/>
    <x v="0"/>
    <s v="Stable"/>
    <x v="0"/>
    <x v="1"/>
    <n v="2000"/>
    <x v="2"/>
    <x v="3"/>
    <x v="3"/>
  </r>
  <r>
    <x v="725"/>
    <n v="35"/>
    <x v="0"/>
    <x v="2"/>
    <x v="2"/>
    <x v="140"/>
    <x v="265"/>
    <x v="2"/>
    <x v="3"/>
    <n v="50"/>
    <x v="1"/>
    <s v="Recovered"/>
    <x v="2"/>
    <x v="1"/>
    <n v="500"/>
    <x v="1"/>
    <x v="3"/>
    <x v="3"/>
  </r>
  <r>
    <x v="726"/>
    <n v="78"/>
    <x v="1"/>
    <x v="3"/>
    <x v="3"/>
    <x v="26"/>
    <x v="569"/>
    <x v="12"/>
    <x v="1"/>
    <n v="57"/>
    <x v="0"/>
    <s v="Stable"/>
    <x v="3"/>
    <x v="1"/>
    <n v="10000"/>
    <x v="2"/>
    <x v="3"/>
    <x v="1"/>
  </r>
  <r>
    <x v="727"/>
    <n v="53"/>
    <x v="0"/>
    <x v="4"/>
    <x v="4"/>
    <x v="29"/>
    <x v="570"/>
    <x v="16"/>
    <x v="1"/>
    <n v="59"/>
    <x v="1"/>
    <s v="Recovered"/>
    <x v="0"/>
    <x v="0"/>
    <n v="25000"/>
    <x v="0"/>
    <x v="3"/>
    <x v="1"/>
  </r>
  <r>
    <x v="728"/>
    <n v="72"/>
    <x v="1"/>
    <x v="5"/>
    <x v="5"/>
    <x v="242"/>
    <x v="571"/>
    <x v="5"/>
    <x v="1"/>
    <n v="53"/>
    <x v="0"/>
    <s v="Stable"/>
    <x v="0"/>
    <x v="1"/>
    <n v="1000"/>
    <x v="2"/>
    <x v="3"/>
    <x v="1"/>
  </r>
  <r>
    <x v="729"/>
    <n v="60"/>
    <x v="0"/>
    <x v="6"/>
    <x v="6"/>
    <x v="572"/>
    <x v="572"/>
    <x v="6"/>
    <x v="1"/>
    <n v="55"/>
    <x v="1"/>
    <s v="Recovered"/>
    <x v="1"/>
    <x v="0"/>
    <n v="8000"/>
    <x v="0"/>
    <x v="3"/>
    <x v="1"/>
  </r>
  <r>
    <x v="730"/>
    <n v="45"/>
    <x v="1"/>
    <x v="7"/>
    <x v="7"/>
    <x v="87"/>
    <x v="573"/>
    <x v="2"/>
    <x v="2"/>
    <n v="55"/>
    <x v="0"/>
    <s v="Recovered"/>
    <x v="0"/>
    <x v="0"/>
    <n v="3000"/>
    <x v="0"/>
    <x v="3"/>
    <x v="4"/>
  </r>
  <r>
    <x v="731"/>
    <n v="75"/>
    <x v="0"/>
    <x v="8"/>
    <x v="8"/>
    <x v="186"/>
    <x v="574"/>
    <x v="18"/>
    <x v="2"/>
    <n v="57"/>
    <x v="1"/>
    <s v="Stable"/>
    <x v="3"/>
    <x v="0"/>
    <n v="18000"/>
    <x v="2"/>
    <x v="3"/>
    <x v="2"/>
  </r>
  <r>
    <x v="732"/>
    <n v="28"/>
    <x v="1"/>
    <x v="9"/>
    <x v="9"/>
    <x v="573"/>
    <x v="523"/>
    <x v="23"/>
    <x v="2"/>
    <n v="50"/>
    <x v="0"/>
    <s v="Recovered"/>
    <x v="2"/>
    <x v="0"/>
    <n v="100"/>
    <x v="1"/>
    <x v="3"/>
    <x v="2"/>
  </r>
  <r>
    <x v="733"/>
    <n v="52"/>
    <x v="0"/>
    <x v="10"/>
    <x v="10"/>
    <x v="69"/>
    <x v="575"/>
    <x v="8"/>
    <x v="1"/>
    <n v="51"/>
    <x v="0"/>
    <s v="Stable"/>
    <x v="0"/>
    <x v="0"/>
    <n v="800"/>
    <x v="0"/>
    <x v="3"/>
    <x v="1"/>
  </r>
  <r>
    <x v="734"/>
    <n v="67"/>
    <x v="1"/>
    <x v="11"/>
    <x v="11"/>
    <x v="574"/>
    <x v="576"/>
    <x v="8"/>
    <x v="3"/>
    <n v="58"/>
    <x v="0"/>
    <s v="Recovered"/>
    <x v="1"/>
    <x v="1"/>
    <n v="20000"/>
    <x v="2"/>
    <x v="3"/>
    <x v="3"/>
  </r>
  <r>
    <x v="735"/>
    <n v="35"/>
    <x v="0"/>
    <x v="12"/>
    <x v="12"/>
    <x v="510"/>
    <x v="577"/>
    <x v="9"/>
    <x v="2"/>
    <n v="52"/>
    <x v="0"/>
    <s v="Recovered"/>
    <x v="0"/>
    <x v="1"/>
    <n v="12000"/>
    <x v="1"/>
    <x v="3"/>
    <x v="2"/>
  </r>
  <r>
    <x v="736"/>
    <n v="50"/>
    <x v="1"/>
    <x v="13"/>
    <x v="13"/>
    <x v="50"/>
    <x v="578"/>
    <x v="7"/>
    <x v="2"/>
    <n v="53"/>
    <x v="0"/>
    <s v="Recovered"/>
    <x v="1"/>
    <x v="0"/>
    <n v="6000"/>
    <x v="0"/>
    <x v="3"/>
    <x v="2"/>
  </r>
  <r>
    <x v="737"/>
    <n v="60"/>
    <x v="0"/>
    <x v="14"/>
    <x v="14"/>
    <x v="401"/>
    <x v="319"/>
    <x v="24"/>
    <x v="3"/>
    <n v="54"/>
    <x v="0"/>
    <s v="Stable"/>
    <x v="0"/>
    <x v="1"/>
    <n v="4000"/>
    <x v="0"/>
    <x v="3"/>
    <x v="3"/>
  </r>
  <r>
    <x v="738"/>
    <n v="48"/>
    <x v="0"/>
    <x v="0"/>
    <x v="0"/>
    <x v="357"/>
    <x v="364"/>
    <x v="0"/>
    <x v="1"/>
    <n v="55"/>
    <x v="1"/>
    <s v="Recovered"/>
    <x v="0"/>
    <x v="1"/>
    <n v="15000"/>
    <x v="0"/>
    <x v="3"/>
    <x v="0"/>
  </r>
  <r>
    <x v="739"/>
    <n v="65"/>
    <x v="1"/>
    <x v="1"/>
    <x v="1"/>
    <x v="483"/>
    <x v="336"/>
    <x v="0"/>
    <x v="3"/>
    <n v="53"/>
    <x v="0"/>
    <s v="Stable"/>
    <x v="1"/>
    <x v="1"/>
    <n v="2000"/>
    <x v="2"/>
    <x v="3"/>
    <x v="3"/>
  </r>
  <r>
    <x v="740"/>
    <n v="30"/>
    <x v="0"/>
    <x v="2"/>
    <x v="2"/>
    <x v="575"/>
    <x v="579"/>
    <x v="26"/>
    <x v="3"/>
    <n v="51"/>
    <x v="0"/>
    <s v="Recovered"/>
    <x v="2"/>
    <x v="0"/>
    <n v="500"/>
    <x v="1"/>
    <x v="3"/>
    <x v="3"/>
  </r>
  <r>
    <x v="741"/>
    <n v="70"/>
    <x v="1"/>
    <x v="3"/>
    <x v="3"/>
    <x v="576"/>
    <x v="580"/>
    <x v="12"/>
    <x v="2"/>
    <n v="58"/>
    <x v="1"/>
    <s v="Stable"/>
    <x v="3"/>
    <x v="1"/>
    <n v="10000"/>
    <x v="2"/>
    <x v="3"/>
    <x v="2"/>
  </r>
  <r>
    <x v="742"/>
    <n v="55"/>
    <x v="0"/>
    <x v="4"/>
    <x v="4"/>
    <x v="345"/>
    <x v="307"/>
    <x v="13"/>
    <x v="2"/>
    <n v="60"/>
    <x v="0"/>
    <s v="Recovered"/>
    <x v="0"/>
    <x v="1"/>
    <n v="25000"/>
    <x v="0"/>
    <x v="3"/>
    <x v="2"/>
  </r>
  <r>
    <x v="743"/>
    <n v="68"/>
    <x v="1"/>
    <x v="5"/>
    <x v="5"/>
    <x v="577"/>
    <x v="303"/>
    <x v="5"/>
    <x v="0"/>
    <n v="54"/>
    <x v="0"/>
    <s v="Stable"/>
    <x v="0"/>
    <x v="1"/>
    <n v="1000"/>
    <x v="2"/>
    <x v="3"/>
    <x v="2"/>
  </r>
  <r>
    <x v="744"/>
    <n v="45"/>
    <x v="0"/>
    <x v="6"/>
    <x v="6"/>
    <x v="578"/>
    <x v="242"/>
    <x v="0"/>
    <x v="3"/>
    <n v="56"/>
    <x v="0"/>
    <s v="Recovered"/>
    <x v="1"/>
    <x v="1"/>
    <n v="8000"/>
    <x v="0"/>
    <x v="3"/>
    <x v="1"/>
  </r>
  <r>
    <x v="745"/>
    <n v="40"/>
    <x v="1"/>
    <x v="7"/>
    <x v="7"/>
    <x v="497"/>
    <x v="581"/>
    <x v="2"/>
    <x v="1"/>
    <n v="56"/>
    <x v="0"/>
    <s v="Recovered"/>
    <x v="0"/>
    <x v="0"/>
    <n v="3000"/>
    <x v="0"/>
    <x v="3"/>
    <x v="0"/>
  </r>
  <r>
    <x v="746"/>
    <n v="78"/>
    <x v="0"/>
    <x v="8"/>
    <x v="8"/>
    <x v="579"/>
    <x v="582"/>
    <x v="18"/>
    <x v="2"/>
    <n v="58"/>
    <x v="1"/>
    <s v="Stable"/>
    <x v="3"/>
    <x v="1"/>
    <n v="18000"/>
    <x v="2"/>
    <x v="3"/>
    <x v="2"/>
  </r>
  <r>
    <x v="747"/>
    <n v="25"/>
    <x v="1"/>
    <x v="9"/>
    <x v="9"/>
    <x v="580"/>
    <x v="272"/>
    <x v="22"/>
    <x v="1"/>
    <n v="51"/>
    <x v="0"/>
    <s v="Recovered"/>
    <x v="2"/>
    <x v="1"/>
    <n v="100"/>
    <x v="1"/>
    <x v="3"/>
    <x v="1"/>
  </r>
  <r>
    <x v="748"/>
    <n v="52"/>
    <x v="0"/>
    <x v="10"/>
    <x v="10"/>
    <x v="581"/>
    <x v="583"/>
    <x v="13"/>
    <x v="3"/>
    <n v="52"/>
    <x v="0"/>
    <s v="Stable"/>
    <x v="0"/>
    <x v="0"/>
    <n v="800"/>
    <x v="0"/>
    <x v="3"/>
    <x v="3"/>
  </r>
  <r>
    <x v="749"/>
    <n v="58"/>
    <x v="1"/>
    <x v="11"/>
    <x v="11"/>
    <x v="582"/>
    <x v="584"/>
    <x v="16"/>
    <x v="0"/>
    <n v="59"/>
    <x v="0"/>
    <s v="Recovered"/>
    <x v="1"/>
    <x v="0"/>
    <n v="20000"/>
    <x v="0"/>
    <x v="3"/>
    <x v="2"/>
  </r>
  <r>
    <x v="750"/>
    <n v="32"/>
    <x v="0"/>
    <x v="12"/>
    <x v="12"/>
    <x v="583"/>
    <x v="217"/>
    <x v="17"/>
    <x v="2"/>
    <n v="53"/>
    <x v="0"/>
    <s v="Recovered"/>
    <x v="0"/>
    <x v="1"/>
    <n v="12000"/>
    <x v="1"/>
    <x v="3"/>
    <x v="2"/>
  </r>
  <r>
    <x v="751"/>
    <n v="55"/>
    <x v="1"/>
    <x v="13"/>
    <x v="13"/>
    <x v="584"/>
    <x v="563"/>
    <x v="25"/>
    <x v="2"/>
    <n v="54"/>
    <x v="0"/>
    <s v="Recovered"/>
    <x v="1"/>
    <x v="1"/>
    <n v="6000"/>
    <x v="0"/>
    <x v="3"/>
    <x v="2"/>
  </r>
  <r>
    <x v="752"/>
    <n v="65"/>
    <x v="0"/>
    <x v="14"/>
    <x v="14"/>
    <x v="282"/>
    <x v="439"/>
    <x v="22"/>
    <x v="3"/>
    <n v="55"/>
    <x v="0"/>
    <s v="Stable"/>
    <x v="0"/>
    <x v="0"/>
    <n v="4000"/>
    <x v="2"/>
    <x v="3"/>
    <x v="3"/>
  </r>
  <r>
    <x v="753"/>
    <n v="55"/>
    <x v="0"/>
    <x v="0"/>
    <x v="0"/>
    <x v="585"/>
    <x v="162"/>
    <x v="22"/>
    <x v="0"/>
    <n v="56"/>
    <x v="1"/>
    <s v="Recovered"/>
    <x v="1"/>
    <x v="1"/>
    <n v="15000"/>
    <x v="0"/>
    <x v="3"/>
    <x v="2"/>
  </r>
  <r>
    <x v="754"/>
    <n v="62"/>
    <x v="1"/>
    <x v="1"/>
    <x v="1"/>
    <x v="586"/>
    <x v="585"/>
    <x v="10"/>
    <x v="2"/>
    <n v="54"/>
    <x v="0"/>
    <s v="Stable"/>
    <x v="0"/>
    <x v="1"/>
    <n v="2000"/>
    <x v="2"/>
    <x v="3"/>
    <x v="2"/>
  </r>
  <r>
    <x v="755"/>
    <n v="35"/>
    <x v="0"/>
    <x v="2"/>
    <x v="2"/>
    <x v="184"/>
    <x v="586"/>
    <x v="19"/>
    <x v="2"/>
    <n v="52"/>
    <x v="1"/>
    <s v="Recovered"/>
    <x v="2"/>
    <x v="1"/>
    <n v="500"/>
    <x v="1"/>
    <x v="3"/>
    <x v="2"/>
  </r>
  <r>
    <x v="756"/>
    <n v="78"/>
    <x v="1"/>
    <x v="3"/>
    <x v="3"/>
    <x v="587"/>
    <x v="587"/>
    <x v="3"/>
    <x v="3"/>
    <n v="59"/>
    <x v="0"/>
    <s v="Stable"/>
    <x v="3"/>
    <x v="0"/>
    <n v="10000"/>
    <x v="2"/>
    <x v="3"/>
    <x v="3"/>
  </r>
  <r>
    <x v="757"/>
    <n v="53"/>
    <x v="0"/>
    <x v="4"/>
    <x v="4"/>
    <x v="588"/>
    <x v="588"/>
    <x v="4"/>
    <x v="2"/>
    <n v="61"/>
    <x v="1"/>
    <s v="Recovered"/>
    <x v="0"/>
    <x v="1"/>
    <n v="25000"/>
    <x v="0"/>
    <x v="4"/>
    <x v="4"/>
  </r>
  <r>
    <x v="758"/>
    <n v="72"/>
    <x v="1"/>
    <x v="5"/>
    <x v="5"/>
    <x v="69"/>
    <x v="589"/>
    <x v="1"/>
    <x v="1"/>
    <n v="55"/>
    <x v="0"/>
    <s v="Stable"/>
    <x v="0"/>
    <x v="1"/>
    <n v="1000"/>
    <x v="2"/>
    <x v="3"/>
    <x v="1"/>
  </r>
  <r>
    <x v="759"/>
    <n v="60"/>
    <x v="0"/>
    <x v="6"/>
    <x v="6"/>
    <x v="589"/>
    <x v="590"/>
    <x v="6"/>
    <x v="2"/>
    <n v="57"/>
    <x v="1"/>
    <s v="Recovered"/>
    <x v="1"/>
    <x v="0"/>
    <n v="8000"/>
    <x v="0"/>
    <x v="3"/>
    <x v="2"/>
  </r>
  <r>
    <x v="760"/>
    <n v="45"/>
    <x v="1"/>
    <x v="7"/>
    <x v="7"/>
    <x v="590"/>
    <x v="591"/>
    <x v="2"/>
    <x v="3"/>
    <n v="57"/>
    <x v="0"/>
    <s v="Recovered"/>
    <x v="0"/>
    <x v="1"/>
    <n v="3000"/>
    <x v="0"/>
    <x v="3"/>
    <x v="3"/>
  </r>
  <r>
    <x v="761"/>
    <n v="75"/>
    <x v="0"/>
    <x v="8"/>
    <x v="8"/>
    <x v="591"/>
    <x v="592"/>
    <x v="18"/>
    <x v="1"/>
    <n v="59"/>
    <x v="1"/>
    <s v="Stable"/>
    <x v="3"/>
    <x v="1"/>
    <n v="18000"/>
    <x v="2"/>
    <x v="3"/>
    <x v="1"/>
  </r>
  <r>
    <x v="762"/>
    <n v="28"/>
    <x v="1"/>
    <x v="9"/>
    <x v="9"/>
    <x v="434"/>
    <x v="593"/>
    <x v="22"/>
    <x v="0"/>
    <n v="52"/>
    <x v="0"/>
    <s v="Recovered"/>
    <x v="2"/>
    <x v="1"/>
    <n v="100"/>
    <x v="1"/>
    <x v="3"/>
    <x v="0"/>
  </r>
  <r>
    <x v="763"/>
    <n v="52"/>
    <x v="0"/>
    <x v="10"/>
    <x v="10"/>
    <x v="592"/>
    <x v="594"/>
    <x v="8"/>
    <x v="2"/>
    <n v="53"/>
    <x v="0"/>
    <s v="Stable"/>
    <x v="0"/>
    <x v="1"/>
    <n v="800"/>
    <x v="0"/>
    <x v="3"/>
    <x v="2"/>
  </r>
  <r>
    <x v="764"/>
    <n v="67"/>
    <x v="1"/>
    <x v="11"/>
    <x v="11"/>
    <x v="593"/>
    <x v="595"/>
    <x v="8"/>
    <x v="3"/>
    <n v="60"/>
    <x v="0"/>
    <s v="Recovered"/>
    <x v="1"/>
    <x v="1"/>
    <n v="20000"/>
    <x v="2"/>
    <x v="3"/>
    <x v="3"/>
  </r>
  <r>
    <x v="765"/>
    <n v="35"/>
    <x v="0"/>
    <x v="12"/>
    <x v="12"/>
    <x v="443"/>
    <x v="313"/>
    <x v="9"/>
    <x v="1"/>
    <n v="54"/>
    <x v="0"/>
    <s v="Recovered"/>
    <x v="0"/>
    <x v="1"/>
    <n v="12000"/>
    <x v="1"/>
    <x v="3"/>
    <x v="1"/>
  </r>
  <r>
    <x v="766"/>
    <n v="50"/>
    <x v="1"/>
    <x v="13"/>
    <x v="13"/>
    <x v="474"/>
    <x v="596"/>
    <x v="26"/>
    <x v="1"/>
    <n v="55"/>
    <x v="0"/>
    <s v="Recovered"/>
    <x v="1"/>
    <x v="1"/>
    <n v="6000"/>
    <x v="0"/>
    <x v="3"/>
    <x v="1"/>
  </r>
  <r>
    <x v="767"/>
    <n v="60"/>
    <x v="0"/>
    <x v="14"/>
    <x v="14"/>
    <x v="594"/>
    <x v="597"/>
    <x v="10"/>
    <x v="3"/>
    <n v="56"/>
    <x v="0"/>
    <s v="Stable"/>
    <x v="0"/>
    <x v="1"/>
    <n v="4000"/>
    <x v="0"/>
    <x v="3"/>
    <x v="3"/>
  </r>
  <r>
    <x v="768"/>
    <n v="48"/>
    <x v="0"/>
    <x v="0"/>
    <x v="0"/>
    <x v="595"/>
    <x v="598"/>
    <x v="0"/>
    <x v="3"/>
    <n v="57"/>
    <x v="1"/>
    <s v="Recovered"/>
    <x v="0"/>
    <x v="1"/>
    <n v="15000"/>
    <x v="0"/>
    <x v="3"/>
    <x v="3"/>
  </r>
  <r>
    <x v="769"/>
    <n v="65"/>
    <x v="1"/>
    <x v="1"/>
    <x v="1"/>
    <x v="596"/>
    <x v="329"/>
    <x v="22"/>
    <x v="1"/>
    <n v="55"/>
    <x v="0"/>
    <s v="Stable"/>
    <x v="1"/>
    <x v="1"/>
    <n v="2000"/>
    <x v="2"/>
    <x v="3"/>
    <x v="1"/>
  </r>
  <r>
    <x v="770"/>
    <n v="30"/>
    <x v="0"/>
    <x v="2"/>
    <x v="2"/>
    <x v="438"/>
    <x v="599"/>
    <x v="2"/>
    <x v="0"/>
    <n v="53"/>
    <x v="0"/>
    <s v="Recovered"/>
    <x v="2"/>
    <x v="1"/>
    <n v="500"/>
    <x v="1"/>
    <x v="3"/>
    <x v="0"/>
  </r>
  <r>
    <x v="771"/>
    <n v="55"/>
    <x v="0"/>
    <x v="4"/>
    <x v="4"/>
    <x v="292"/>
    <x v="600"/>
    <x v="4"/>
    <x v="3"/>
    <n v="62"/>
    <x v="0"/>
    <s v="Recovered"/>
    <x v="0"/>
    <x v="1"/>
    <n v="25000"/>
    <x v="0"/>
    <x v="4"/>
    <x v="3"/>
  </r>
  <r>
    <x v="772"/>
    <n v="68"/>
    <x v="1"/>
    <x v="5"/>
    <x v="5"/>
    <x v="36"/>
    <x v="181"/>
    <x v="28"/>
    <x v="0"/>
    <n v="56"/>
    <x v="0"/>
    <s v="Stable"/>
    <x v="0"/>
    <x v="1"/>
    <n v="1000"/>
    <x v="2"/>
    <x v="3"/>
    <x v="0"/>
  </r>
  <r>
    <x v="773"/>
    <n v="45"/>
    <x v="0"/>
    <x v="6"/>
    <x v="6"/>
    <x v="597"/>
    <x v="601"/>
    <x v="6"/>
    <x v="1"/>
    <n v="58"/>
    <x v="0"/>
    <s v="Recovered"/>
    <x v="1"/>
    <x v="1"/>
    <n v="8000"/>
    <x v="0"/>
    <x v="3"/>
    <x v="1"/>
  </r>
  <r>
    <x v="774"/>
    <n v="40"/>
    <x v="1"/>
    <x v="7"/>
    <x v="7"/>
    <x v="204"/>
    <x v="219"/>
    <x v="7"/>
    <x v="0"/>
    <n v="58"/>
    <x v="0"/>
    <s v="Recovered"/>
    <x v="0"/>
    <x v="0"/>
    <n v="3000"/>
    <x v="0"/>
    <x v="3"/>
    <x v="0"/>
  </r>
  <r>
    <x v="775"/>
    <n v="78"/>
    <x v="0"/>
    <x v="8"/>
    <x v="8"/>
    <x v="598"/>
    <x v="537"/>
    <x v="14"/>
    <x v="0"/>
    <n v="60"/>
    <x v="1"/>
    <s v="Stable"/>
    <x v="3"/>
    <x v="0"/>
    <n v="18000"/>
    <x v="2"/>
    <x v="3"/>
    <x v="0"/>
  </r>
  <r>
    <x v="776"/>
    <n v="25"/>
    <x v="1"/>
    <x v="9"/>
    <x v="9"/>
    <x v="316"/>
    <x v="602"/>
    <x v="23"/>
    <x v="2"/>
    <n v="53"/>
    <x v="0"/>
    <s v="Recovered"/>
    <x v="2"/>
    <x v="1"/>
    <n v="100"/>
    <x v="1"/>
    <x v="3"/>
    <x v="2"/>
  </r>
  <r>
    <x v="777"/>
    <n v="52"/>
    <x v="0"/>
    <x v="10"/>
    <x v="10"/>
    <x v="250"/>
    <x v="603"/>
    <x v="8"/>
    <x v="2"/>
    <n v="54"/>
    <x v="0"/>
    <s v="Stable"/>
    <x v="0"/>
    <x v="1"/>
    <n v="800"/>
    <x v="0"/>
    <x v="3"/>
    <x v="4"/>
  </r>
  <r>
    <x v="778"/>
    <n v="58"/>
    <x v="1"/>
    <x v="11"/>
    <x v="11"/>
    <x v="90"/>
    <x v="604"/>
    <x v="0"/>
    <x v="3"/>
    <n v="61"/>
    <x v="0"/>
    <s v="Recovered"/>
    <x v="1"/>
    <x v="1"/>
    <n v="20000"/>
    <x v="0"/>
    <x v="4"/>
    <x v="3"/>
  </r>
  <r>
    <x v="779"/>
    <n v="32"/>
    <x v="0"/>
    <x v="12"/>
    <x v="12"/>
    <x v="599"/>
    <x v="605"/>
    <x v="25"/>
    <x v="2"/>
    <n v="55"/>
    <x v="0"/>
    <s v="Recovered"/>
    <x v="0"/>
    <x v="0"/>
    <n v="12000"/>
    <x v="1"/>
    <x v="3"/>
    <x v="4"/>
  </r>
  <r>
    <x v="780"/>
    <n v="55"/>
    <x v="1"/>
    <x v="13"/>
    <x v="13"/>
    <x v="600"/>
    <x v="606"/>
    <x v="26"/>
    <x v="0"/>
    <n v="56"/>
    <x v="0"/>
    <s v="Recovered"/>
    <x v="1"/>
    <x v="0"/>
    <n v="6000"/>
    <x v="0"/>
    <x v="3"/>
    <x v="0"/>
  </r>
  <r>
    <x v="781"/>
    <n v="65"/>
    <x v="0"/>
    <x v="14"/>
    <x v="14"/>
    <x v="426"/>
    <x v="607"/>
    <x v="22"/>
    <x v="1"/>
    <n v="57"/>
    <x v="0"/>
    <s v="Stable"/>
    <x v="0"/>
    <x v="0"/>
    <n v="4000"/>
    <x v="2"/>
    <x v="3"/>
    <x v="1"/>
  </r>
  <r>
    <x v="782"/>
    <n v="55"/>
    <x v="0"/>
    <x v="0"/>
    <x v="0"/>
    <x v="601"/>
    <x v="464"/>
    <x v="18"/>
    <x v="1"/>
    <n v="58"/>
    <x v="1"/>
    <s v="Recovered"/>
    <x v="1"/>
    <x v="1"/>
    <n v="15000"/>
    <x v="0"/>
    <x v="3"/>
    <x v="0"/>
  </r>
  <r>
    <x v="783"/>
    <n v="62"/>
    <x v="1"/>
    <x v="1"/>
    <x v="1"/>
    <x v="602"/>
    <x v="579"/>
    <x v="22"/>
    <x v="3"/>
    <n v="56"/>
    <x v="0"/>
    <s v="Stable"/>
    <x v="0"/>
    <x v="1"/>
    <n v="2000"/>
    <x v="2"/>
    <x v="3"/>
    <x v="3"/>
  </r>
  <r>
    <x v="784"/>
    <n v="35"/>
    <x v="0"/>
    <x v="2"/>
    <x v="2"/>
    <x v="603"/>
    <x v="608"/>
    <x v="19"/>
    <x v="3"/>
    <n v="54"/>
    <x v="1"/>
    <s v="Recovered"/>
    <x v="2"/>
    <x v="0"/>
    <n v="500"/>
    <x v="1"/>
    <x v="3"/>
    <x v="3"/>
  </r>
  <r>
    <x v="785"/>
    <n v="78"/>
    <x v="1"/>
    <x v="3"/>
    <x v="3"/>
    <x v="604"/>
    <x v="609"/>
    <x v="4"/>
    <x v="2"/>
    <n v="61"/>
    <x v="0"/>
    <s v="Stable"/>
    <x v="3"/>
    <x v="0"/>
    <n v="10000"/>
    <x v="2"/>
    <x v="4"/>
    <x v="2"/>
  </r>
  <r>
    <x v="786"/>
    <n v="53"/>
    <x v="0"/>
    <x v="4"/>
    <x v="4"/>
    <x v="557"/>
    <x v="376"/>
    <x v="4"/>
    <x v="3"/>
    <n v="63"/>
    <x v="1"/>
    <s v="Recovered"/>
    <x v="0"/>
    <x v="0"/>
    <n v="25000"/>
    <x v="0"/>
    <x v="4"/>
    <x v="3"/>
  </r>
  <r>
    <x v="787"/>
    <n v="72"/>
    <x v="1"/>
    <x v="5"/>
    <x v="5"/>
    <x v="605"/>
    <x v="7"/>
    <x v="28"/>
    <x v="3"/>
    <n v="57"/>
    <x v="0"/>
    <s v="Stable"/>
    <x v="0"/>
    <x v="0"/>
    <n v="1000"/>
    <x v="2"/>
    <x v="3"/>
    <x v="3"/>
  </r>
  <r>
    <x v="788"/>
    <n v="60"/>
    <x v="0"/>
    <x v="6"/>
    <x v="6"/>
    <x v="606"/>
    <x v="610"/>
    <x v="0"/>
    <x v="3"/>
    <n v="59"/>
    <x v="1"/>
    <s v="Recovered"/>
    <x v="1"/>
    <x v="1"/>
    <n v="8000"/>
    <x v="0"/>
    <x v="3"/>
    <x v="3"/>
  </r>
  <r>
    <x v="789"/>
    <n v="45"/>
    <x v="1"/>
    <x v="7"/>
    <x v="7"/>
    <x v="607"/>
    <x v="412"/>
    <x v="19"/>
    <x v="3"/>
    <n v="59"/>
    <x v="0"/>
    <s v="Recovered"/>
    <x v="0"/>
    <x v="1"/>
    <n v="3000"/>
    <x v="0"/>
    <x v="3"/>
    <x v="1"/>
  </r>
  <r>
    <x v="790"/>
    <n v="75"/>
    <x v="0"/>
    <x v="8"/>
    <x v="8"/>
    <x v="273"/>
    <x v="611"/>
    <x v="0"/>
    <x v="1"/>
    <n v="61"/>
    <x v="1"/>
    <s v="Stable"/>
    <x v="3"/>
    <x v="1"/>
    <n v="18000"/>
    <x v="2"/>
    <x v="4"/>
    <x v="1"/>
  </r>
  <r>
    <x v="791"/>
    <n v="28"/>
    <x v="1"/>
    <x v="9"/>
    <x v="9"/>
    <x v="608"/>
    <x v="107"/>
    <x v="0"/>
    <x v="0"/>
    <n v="54"/>
    <x v="0"/>
    <s v="Recovered"/>
    <x v="2"/>
    <x v="0"/>
    <n v="100"/>
    <x v="1"/>
    <x v="3"/>
    <x v="0"/>
  </r>
  <r>
    <x v="792"/>
    <n v="52"/>
    <x v="0"/>
    <x v="10"/>
    <x v="10"/>
    <x v="609"/>
    <x v="612"/>
    <x v="8"/>
    <x v="3"/>
    <n v="55"/>
    <x v="0"/>
    <s v="Stable"/>
    <x v="0"/>
    <x v="1"/>
    <n v="800"/>
    <x v="0"/>
    <x v="3"/>
    <x v="1"/>
  </r>
  <r>
    <x v="793"/>
    <n v="67"/>
    <x v="1"/>
    <x v="11"/>
    <x v="11"/>
    <x v="203"/>
    <x v="393"/>
    <x v="8"/>
    <x v="3"/>
    <n v="62"/>
    <x v="0"/>
    <s v="Recovered"/>
    <x v="1"/>
    <x v="0"/>
    <n v="20000"/>
    <x v="2"/>
    <x v="4"/>
    <x v="3"/>
  </r>
  <r>
    <x v="794"/>
    <n v="35"/>
    <x v="0"/>
    <x v="12"/>
    <x v="12"/>
    <x v="447"/>
    <x v="613"/>
    <x v="23"/>
    <x v="2"/>
    <n v="56"/>
    <x v="0"/>
    <s v="Recovered"/>
    <x v="0"/>
    <x v="1"/>
    <n v="12000"/>
    <x v="1"/>
    <x v="3"/>
    <x v="2"/>
  </r>
  <r>
    <x v="795"/>
    <n v="50"/>
    <x v="1"/>
    <x v="13"/>
    <x v="13"/>
    <x v="610"/>
    <x v="313"/>
    <x v="26"/>
    <x v="1"/>
    <n v="57"/>
    <x v="0"/>
    <s v="Recovered"/>
    <x v="1"/>
    <x v="1"/>
    <n v="6000"/>
    <x v="0"/>
    <x v="3"/>
    <x v="1"/>
  </r>
  <r>
    <x v="796"/>
    <n v="60"/>
    <x v="0"/>
    <x v="14"/>
    <x v="14"/>
    <x v="611"/>
    <x v="614"/>
    <x v="24"/>
    <x v="2"/>
    <n v="58"/>
    <x v="0"/>
    <s v="Stable"/>
    <x v="0"/>
    <x v="0"/>
    <n v="4000"/>
    <x v="0"/>
    <x v="3"/>
    <x v="2"/>
  </r>
  <r>
    <x v="797"/>
    <n v="48"/>
    <x v="0"/>
    <x v="0"/>
    <x v="0"/>
    <x v="612"/>
    <x v="248"/>
    <x v="0"/>
    <x v="3"/>
    <n v="59"/>
    <x v="1"/>
    <s v="Recovered"/>
    <x v="0"/>
    <x v="0"/>
    <n v="15000"/>
    <x v="0"/>
    <x v="3"/>
    <x v="3"/>
  </r>
  <r>
    <x v="798"/>
    <n v="65"/>
    <x v="1"/>
    <x v="1"/>
    <x v="1"/>
    <x v="613"/>
    <x v="615"/>
    <x v="1"/>
    <x v="2"/>
    <n v="57"/>
    <x v="0"/>
    <s v="Stable"/>
    <x v="1"/>
    <x v="0"/>
    <n v="2000"/>
    <x v="2"/>
    <x v="3"/>
    <x v="2"/>
  </r>
  <r>
    <x v="799"/>
    <n v="30"/>
    <x v="0"/>
    <x v="2"/>
    <x v="2"/>
    <x v="614"/>
    <x v="441"/>
    <x v="2"/>
    <x v="3"/>
    <n v="55"/>
    <x v="0"/>
    <s v="Recovered"/>
    <x v="2"/>
    <x v="1"/>
    <n v="500"/>
    <x v="1"/>
    <x v="3"/>
    <x v="3"/>
  </r>
  <r>
    <x v="800"/>
    <n v="70"/>
    <x v="1"/>
    <x v="3"/>
    <x v="3"/>
    <x v="615"/>
    <x v="616"/>
    <x v="12"/>
    <x v="2"/>
    <n v="62"/>
    <x v="1"/>
    <s v="Stable"/>
    <x v="3"/>
    <x v="1"/>
    <n v="10000"/>
    <x v="2"/>
    <x v="4"/>
    <x v="4"/>
  </r>
  <r>
    <x v="801"/>
    <n v="55"/>
    <x v="0"/>
    <x v="4"/>
    <x v="4"/>
    <x v="104"/>
    <x v="439"/>
    <x v="13"/>
    <x v="3"/>
    <n v="64"/>
    <x v="0"/>
    <s v="Recovered"/>
    <x v="0"/>
    <x v="1"/>
    <n v="25000"/>
    <x v="0"/>
    <x v="4"/>
    <x v="3"/>
  </r>
  <r>
    <x v="802"/>
    <n v="68"/>
    <x v="1"/>
    <x v="5"/>
    <x v="5"/>
    <x v="616"/>
    <x v="617"/>
    <x v="5"/>
    <x v="2"/>
    <n v="58"/>
    <x v="0"/>
    <s v="Stable"/>
    <x v="0"/>
    <x v="1"/>
    <n v="1000"/>
    <x v="2"/>
    <x v="3"/>
    <x v="4"/>
  </r>
  <r>
    <x v="803"/>
    <n v="45"/>
    <x v="0"/>
    <x v="6"/>
    <x v="6"/>
    <x v="146"/>
    <x v="618"/>
    <x v="6"/>
    <x v="1"/>
    <n v="60"/>
    <x v="0"/>
    <s v="Recovered"/>
    <x v="1"/>
    <x v="1"/>
    <n v="8000"/>
    <x v="0"/>
    <x v="3"/>
    <x v="1"/>
  </r>
  <r>
    <x v="804"/>
    <n v="40"/>
    <x v="1"/>
    <x v="7"/>
    <x v="7"/>
    <x v="570"/>
    <x v="202"/>
    <x v="19"/>
    <x v="3"/>
    <n v="60"/>
    <x v="0"/>
    <s v="Recovered"/>
    <x v="0"/>
    <x v="0"/>
    <n v="3000"/>
    <x v="0"/>
    <x v="3"/>
    <x v="3"/>
  </r>
  <r>
    <x v="805"/>
    <n v="78"/>
    <x v="0"/>
    <x v="8"/>
    <x v="8"/>
    <x v="427"/>
    <x v="619"/>
    <x v="18"/>
    <x v="2"/>
    <n v="62"/>
    <x v="1"/>
    <s v="Stable"/>
    <x v="3"/>
    <x v="1"/>
    <n v="18000"/>
    <x v="2"/>
    <x v="4"/>
    <x v="2"/>
  </r>
  <r>
    <x v="806"/>
    <n v="25"/>
    <x v="1"/>
    <x v="9"/>
    <x v="9"/>
    <x v="617"/>
    <x v="620"/>
    <x v="23"/>
    <x v="2"/>
    <n v="55"/>
    <x v="0"/>
    <s v="Recovered"/>
    <x v="2"/>
    <x v="1"/>
    <n v="100"/>
    <x v="1"/>
    <x v="3"/>
    <x v="2"/>
  </r>
  <r>
    <x v="807"/>
    <n v="52"/>
    <x v="0"/>
    <x v="10"/>
    <x v="10"/>
    <x v="194"/>
    <x v="376"/>
    <x v="15"/>
    <x v="3"/>
    <n v="56"/>
    <x v="0"/>
    <s v="Stable"/>
    <x v="0"/>
    <x v="0"/>
    <n v="800"/>
    <x v="0"/>
    <x v="3"/>
    <x v="3"/>
  </r>
  <r>
    <x v="808"/>
    <n v="58"/>
    <x v="1"/>
    <x v="11"/>
    <x v="11"/>
    <x v="618"/>
    <x v="524"/>
    <x v="0"/>
    <x v="1"/>
    <n v="63"/>
    <x v="0"/>
    <s v="Recovered"/>
    <x v="1"/>
    <x v="1"/>
    <n v="20000"/>
    <x v="0"/>
    <x v="4"/>
    <x v="0"/>
  </r>
  <r>
    <x v="809"/>
    <n v="32"/>
    <x v="0"/>
    <x v="12"/>
    <x v="12"/>
    <x v="61"/>
    <x v="621"/>
    <x v="27"/>
    <x v="1"/>
    <n v="57"/>
    <x v="0"/>
    <s v="Recovered"/>
    <x v="0"/>
    <x v="1"/>
    <n v="12000"/>
    <x v="1"/>
    <x v="3"/>
    <x v="1"/>
  </r>
  <r>
    <x v="810"/>
    <n v="55"/>
    <x v="1"/>
    <x v="13"/>
    <x v="13"/>
    <x v="619"/>
    <x v="622"/>
    <x v="26"/>
    <x v="2"/>
    <n v="58"/>
    <x v="0"/>
    <s v="Recovered"/>
    <x v="1"/>
    <x v="1"/>
    <n v="6000"/>
    <x v="0"/>
    <x v="3"/>
    <x v="4"/>
  </r>
  <r>
    <x v="811"/>
    <n v="65"/>
    <x v="0"/>
    <x v="14"/>
    <x v="14"/>
    <x v="620"/>
    <x v="619"/>
    <x v="24"/>
    <x v="2"/>
    <n v="59"/>
    <x v="0"/>
    <s v="Stable"/>
    <x v="0"/>
    <x v="1"/>
    <n v="4000"/>
    <x v="2"/>
    <x v="3"/>
    <x v="2"/>
  </r>
  <r>
    <x v="812"/>
    <n v="55"/>
    <x v="0"/>
    <x v="0"/>
    <x v="0"/>
    <x v="621"/>
    <x v="382"/>
    <x v="18"/>
    <x v="0"/>
    <n v="60"/>
    <x v="1"/>
    <s v="Recovered"/>
    <x v="1"/>
    <x v="1"/>
    <n v="15000"/>
    <x v="0"/>
    <x v="3"/>
    <x v="0"/>
  </r>
  <r>
    <x v="813"/>
    <n v="62"/>
    <x v="1"/>
    <x v="1"/>
    <x v="1"/>
    <x v="190"/>
    <x v="623"/>
    <x v="20"/>
    <x v="1"/>
    <n v="58"/>
    <x v="0"/>
    <s v="Stable"/>
    <x v="0"/>
    <x v="0"/>
    <n v="2000"/>
    <x v="2"/>
    <x v="3"/>
    <x v="1"/>
  </r>
  <r>
    <x v="814"/>
    <n v="35"/>
    <x v="0"/>
    <x v="2"/>
    <x v="2"/>
    <x v="622"/>
    <x v="624"/>
    <x v="19"/>
    <x v="2"/>
    <n v="56"/>
    <x v="1"/>
    <s v="Recovered"/>
    <x v="2"/>
    <x v="0"/>
    <n v="500"/>
    <x v="1"/>
    <x v="3"/>
    <x v="2"/>
  </r>
  <r>
    <x v="815"/>
    <n v="78"/>
    <x v="1"/>
    <x v="3"/>
    <x v="3"/>
    <x v="213"/>
    <x v="625"/>
    <x v="12"/>
    <x v="1"/>
    <n v="63"/>
    <x v="0"/>
    <s v="Stable"/>
    <x v="3"/>
    <x v="0"/>
    <n v="10000"/>
    <x v="2"/>
    <x v="4"/>
    <x v="1"/>
  </r>
  <r>
    <x v="816"/>
    <n v="53"/>
    <x v="0"/>
    <x v="4"/>
    <x v="4"/>
    <x v="373"/>
    <x v="626"/>
    <x v="16"/>
    <x v="3"/>
    <n v="65"/>
    <x v="1"/>
    <s v="Recovered"/>
    <x v="0"/>
    <x v="1"/>
    <n v="25000"/>
    <x v="0"/>
    <x v="4"/>
    <x v="3"/>
  </r>
  <r>
    <x v="817"/>
    <n v="72"/>
    <x v="1"/>
    <x v="5"/>
    <x v="5"/>
    <x v="623"/>
    <x v="627"/>
    <x v="5"/>
    <x v="3"/>
    <n v="59"/>
    <x v="0"/>
    <s v="Stable"/>
    <x v="0"/>
    <x v="1"/>
    <n v="1000"/>
    <x v="2"/>
    <x v="3"/>
    <x v="3"/>
  </r>
  <r>
    <x v="818"/>
    <n v="60"/>
    <x v="0"/>
    <x v="6"/>
    <x v="6"/>
    <x v="624"/>
    <x v="398"/>
    <x v="0"/>
    <x v="0"/>
    <n v="61"/>
    <x v="1"/>
    <s v="Recovered"/>
    <x v="1"/>
    <x v="0"/>
    <n v="8000"/>
    <x v="0"/>
    <x v="4"/>
    <x v="0"/>
  </r>
  <r>
    <x v="819"/>
    <n v="45"/>
    <x v="1"/>
    <x v="7"/>
    <x v="7"/>
    <x v="625"/>
    <x v="628"/>
    <x v="7"/>
    <x v="1"/>
    <n v="61"/>
    <x v="0"/>
    <s v="Recovered"/>
    <x v="0"/>
    <x v="0"/>
    <n v="3000"/>
    <x v="0"/>
    <x v="4"/>
    <x v="1"/>
  </r>
  <r>
    <x v="820"/>
    <n v="75"/>
    <x v="0"/>
    <x v="8"/>
    <x v="8"/>
    <x v="403"/>
    <x v="629"/>
    <x v="0"/>
    <x v="1"/>
    <n v="63"/>
    <x v="1"/>
    <s v="Stable"/>
    <x v="3"/>
    <x v="1"/>
    <n v="18000"/>
    <x v="2"/>
    <x v="4"/>
    <x v="1"/>
  </r>
  <r>
    <x v="821"/>
    <n v="28"/>
    <x v="1"/>
    <x v="9"/>
    <x v="9"/>
    <x v="626"/>
    <x v="306"/>
    <x v="0"/>
    <x v="1"/>
    <n v="56"/>
    <x v="0"/>
    <s v="Recovered"/>
    <x v="2"/>
    <x v="0"/>
    <n v="100"/>
    <x v="1"/>
    <x v="3"/>
    <x v="1"/>
  </r>
  <r>
    <x v="822"/>
    <n v="52"/>
    <x v="0"/>
    <x v="10"/>
    <x v="10"/>
    <x v="447"/>
    <x v="550"/>
    <x v="8"/>
    <x v="2"/>
    <n v="57"/>
    <x v="0"/>
    <s v="Stable"/>
    <x v="0"/>
    <x v="1"/>
    <n v="800"/>
    <x v="0"/>
    <x v="3"/>
    <x v="2"/>
  </r>
  <r>
    <x v="823"/>
    <n v="67"/>
    <x v="1"/>
    <x v="11"/>
    <x v="11"/>
    <x v="532"/>
    <x v="630"/>
    <x v="8"/>
    <x v="2"/>
    <n v="64"/>
    <x v="0"/>
    <s v="Recovered"/>
    <x v="1"/>
    <x v="0"/>
    <n v="20000"/>
    <x v="2"/>
    <x v="4"/>
    <x v="2"/>
  </r>
  <r>
    <x v="824"/>
    <n v="35"/>
    <x v="0"/>
    <x v="12"/>
    <x v="12"/>
    <x v="627"/>
    <x v="631"/>
    <x v="27"/>
    <x v="3"/>
    <n v="58"/>
    <x v="0"/>
    <s v="Recovered"/>
    <x v="0"/>
    <x v="1"/>
    <n v="12000"/>
    <x v="1"/>
    <x v="3"/>
    <x v="3"/>
  </r>
  <r>
    <x v="825"/>
    <n v="50"/>
    <x v="1"/>
    <x v="13"/>
    <x v="13"/>
    <x v="628"/>
    <x v="632"/>
    <x v="25"/>
    <x v="3"/>
    <n v="59"/>
    <x v="0"/>
    <s v="Recovered"/>
    <x v="1"/>
    <x v="0"/>
    <n v="6000"/>
    <x v="0"/>
    <x v="3"/>
    <x v="3"/>
  </r>
  <r>
    <x v="826"/>
    <n v="60"/>
    <x v="0"/>
    <x v="14"/>
    <x v="14"/>
    <x v="629"/>
    <x v="633"/>
    <x v="22"/>
    <x v="2"/>
    <n v="60"/>
    <x v="0"/>
    <s v="Stable"/>
    <x v="0"/>
    <x v="0"/>
    <n v="4000"/>
    <x v="0"/>
    <x v="3"/>
    <x v="2"/>
  </r>
  <r>
    <x v="827"/>
    <n v="48"/>
    <x v="0"/>
    <x v="0"/>
    <x v="0"/>
    <x v="240"/>
    <x v="634"/>
    <x v="18"/>
    <x v="3"/>
    <n v="61"/>
    <x v="1"/>
    <s v="Recovered"/>
    <x v="0"/>
    <x v="1"/>
    <n v="15000"/>
    <x v="0"/>
    <x v="4"/>
    <x v="3"/>
  </r>
  <r>
    <x v="828"/>
    <n v="65"/>
    <x v="1"/>
    <x v="1"/>
    <x v="1"/>
    <x v="630"/>
    <x v="635"/>
    <x v="20"/>
    <x v="3"/>
    <n v="59"/>
    <x v="0"/>
    <s v="Stable"/>
    <x v="1"/>
    <x v="0"/>
    <n v="2000"/>
    <x v="2"/>
    <x v="3"/>
    <x v="3"/>
  </r>
  <r>
    <x v="829"/>
    <n v="30"/>
    <x v="0"/>
    <x v="2"/>
    <x v="2"/>
    <x v="631"/>
    <x v="636"/>
    <x v="2"/>
    <x v="3"/>
    <n v="57"/>
    <x v="0"/>
    <s v="Recovered"/>
    <x v="2"/>
    <x v="1"/>
    <n v="500"/>
    <x v="1"/>
    <x v="3"/>
    <x v="3"/>
  </r>
  <r>
    <x v="830"/>
    <n v="70"/>
    <x v="1"/>
    <x v="3"/>
    <x v="3"/>
    <x v="187"/>
    <x v="413"/>
    <x v="3"/>
    <x v="1"/>
    <n v="64"/>
    <x v="1"/>
    <s v="Stable"/>
    <x v="3"/>
    <x v="1"/>
    <n v="10000"/>
    <x v="2"/>
    <x v="4"/>
    <x v="1"/>
  </r>
  <r>
    <x v="831"/>
    <n v="68"/>
    <x v="1"/>
    <x v="5"/>
    <x v="5"/>
    <x v="244"/>
    <x v="38"/>
    <x v="18"/>
    <x v="3"/>
    <n v="60"/>
    <x v="0"/>
    <s v="Stable"/>
    <x v="0"/>
    <x v="1"/>
    <n v="1000"/>
    <x v="2"/>
    <x v="3"/>
    <x v="3"/>
  </r>
  <r>
    <x v="832"/>
    <n v="45"/>
    <x v="0"/>
    <x v="6"/>
    <x v="6"/>
    <x v="632"/>
    <x v="637"/>
    <x v="22"/>
    <x v="1"/>
    <n v="62"/>
    <x v="0"/>
    <s v="Recovered"/>
    <x v="1"/>
    <x v="1"/>
    <n v="8000"/>
    <x v="0"/>
    <x v="4"/>
    <x v="1"/>
  </r>
  <r>
    <x v="833"/>
    <n v="40"/>
    <x v="1"/>
    <x v="7"/>
    <x v="7"/>
    <x v="633"/>
    <x v="86"/>
    <x v="19"/>
    <x v="0"/>
    <n v="62"/>
    <x v="0"/>
    <s v="Recovered"/>
    <x v="0"/>
    <x v="1"/>
    <n v="3000"/>
    <x v="0"/>
    <x v="4"/>
    <x v="0"/>
  </r>
  <r>
    <x v="834"/>
    <n v="78"/>
    <x v="0"/>
    <x v="8"/>
    <x v="8"/>
    <x v="439"/>
    <x v="638"/>
    <x v="14"/>
    <x v="2"/>
    <n v="64"/>
    <x v="1"/>
    <s v="Stable"/>
    <x v="3"/>
    <x v="0"/>
    <n v="18000"/>
    <x v="2"/>
    <x v="4"/>
    <x v="2"/>
  </r>
  <r>
    <x v="835"/>
    <n v="25"/>
    <x v="1"/>
    <x v="9"/>
    <x v="9"/>
    <x v="316"/>
    <x v="5"/>
    <x v="6"/>
    <x v="2"/>
    <n v="57"/>
    <x v="0"/>
    <s v="Recovered"/>
    <x v="2"/>
    <x v="1"/>
    <n v="100"/>
    <x v="1"/>
    <x v="3"/>
    <x v="2"/>
  </r>
  <r>
    <x v="836"/>
    <n v="52"/>
    <x v="0"/>
    <x v="10"/>
    <x v="10"/>
    <x v="172"/>
    <x v="6"/>
    <x v="13"/>
    <x v="1"/>
    <n v="58"/>
    <x v="0"/>
    <s v="Stable"/>
    <x v="0"/>
    <x v="1"/>
    <n v="800"/>
    <x v="0"/>
    <x v="3"/>
    <x v="1"/>
  </r>
  <r>
    <x v="837"/>
    <n v="58"/>
    <x v="1"/>
    <x v="11"/>
    <x v="11"/>
    <x v="634"/>
    <x v="639"/>
    <x v="6"/>
    <x v="0"/>
    <n v="65"/>
    <x v="0"/>
    <s v="Recovered"/>
    <x v="1"/>
    <x v="1"/>
    <n v="20000"/>
    <x v="0"/>
    <x v="4"/>
    <x v="2"/>
  </r>
  <r>
    <x v="838"/>
    <n v="32"/>
    <x v="0"/>
    <x v="12"/>
    <x v="12"/>
    <x v="635"/>
    <x v="118"/>
    <x v="27"/>
    <x v="2"/>
    <n v="59"/>
    <x v="0"/>
    <s v="Recovered"/>
    <x v="0"/>
    <x v="0"/>
    <n v="12000"/>
    <x v="1"/>
    <x v="3"/>
    <x v="2"/>
  </r>
  <r>
    <x v="839"/>
    <n v="55"/>
    <x v="1"/>
    <x v="13"/>
    <x v="13"/>
    <x v="283"/>
    <x v="640"/>
    <x v="7"/>
    <x v="2"/>
    <n v="60"/>
    <x v="0"/>
    <s v="Recovered"/>
    <x v="1"/>
    <x v="1"/>
    <n v="6000"/>
    <x v="0"/>
    <x v="3"/>
    <x v="2"/>
  </r>
  <r>
    <x v="840"/>
    <n v="65"/>
    <x v="0"/>
    <x v="14"/>
    <x v="14"/>
    <x v="129"/>
    <x v="641"/>
    <x v="24"/>
    <x v="0"/>
    <n v="61"/>
    <x v="0"/>
    <s v="Stable"/>
    <x v="0"/>
    <x v="0"/>
    <n v="4000"/>
    <x v="2"/>
    <x v="4"/>
    <x v="2"/>
  </r>
  <r>
    <x v="841"/>
    <n v="55"/>
    <x v="0"/>
    <x v="0"/>
    <x v="0"/>
    <x v="384"/>
    <x v="477"/>
    <x v="0"/>
    <x v="3"/>
    <n v="62"/>
    <x v="1"/>
    <s v="Recovered"/>
    <x v="1"/>
    <x v="0"/>
    <n v="15000"/>
    <x v="0"/>
    <x v="4"/>
    <x v="3"/>
  </r>
  <r>
    <x v="842"/>
    <n v="62"/>
    <x v="1"/>
    <x v="1"/>
    <x v="1"/>
    <x v="636"/>
    <x v="436"/>
    <x v="20"/>
    <x v="3"/>
    <n v="60"/>
    <x v="0"/>
    <s v="Stable"/>
    <x v="0"/>
    <x v="1"/>
    <n v="2000"/>
    <x v="2"/>
    <x v="3"/>
    <x v="3"/>
  </r>
  <r>
    <x v="843"/>
    <n v="35"/>
    <x v="0"/>
    <x v="2"/>
    <x v="2"/>
    <x v="514"/>
    <x v="217"/>
    <x v="26"/>
    <x v="2"/>
    <n v="58"/>
    <x v="1"/>
    <s v="Recovered"/>
    <x v="2"/>
    <x v="1"/>
    <n v="500"/>
    <x v="1"/>
    <x v="3"/>
    <x v="2"/>
  </r>
  <r>
    <x v="844"/>
    <n v="78"/>
    <x v="1"/>
    <x v="3"/>
    <x v="3"/>
    <x v="637"/>
    <x v="642"/>
    <x v="12"/>
    <x v="1"/>
    <n v="65"/>
    <x v="0"/>
    <s v="Stable"/>
    <x v="3"/>
    <x v="1"/>
    <n v="10000"/>
    <x v="2"/>
    <x v="4"/>
    <x v="0"/>
  </r>
  <r>
    <x v="845"/>
    <n v="53"/>
    <x v="0"/>
    <x v="4"/>
    <x v="4"/>
    <x v="419"/>
    <x v="643"/>
    <x v="16"/>
    <x v="2"/>
    <n v="67"/>
    <x v="1"/>
    <s v="Recovered"/>
    <x v="0"/>
    <x v="0"/>
    <n v="25000"/>
    <x v="0"/>
    <x v="4"/>
    <x v="2"/>
  </r>
  <r>
    <x v="846"/>
    <n v="72"/>
    <x v="1"/>
    <x v="5"/>
    <x v="5"/>
    <x v="542"/>
    <x v="134"/>
    <x v="1"/>
    <x v="1"/>
    <n v="61"/>
    <x v="0"/>
    <s v="Stable"/>
    <x v="0"/>
    <x v="0"/>
    <n v="1000"/>
    <x v="2"/>
    <x v="4"/>
    <x v="1"/>
  </r>
  <r>
    <x v="847"/>
    <n v="60"/>
    <x v="0"/>
    <x v="6"/>
    <x v="6"/>
    <x v="628"/>
    <x v="7"/>
    <x v="21"/>
    <x v="3"/>
    <n v="63"/>
    <x v="1"/>
    <s v="Recovered"/>
    <x v="1"/>
    <x v="1"/>
    <n v="8000"/>
    <x v="0"/>
    <x v="4"/>
    <x v="3"/>
  </r>
  <r>
    <x v="848"/>
    <n v="45"/>
    <x v="1"/>
    <x v="7"/>
    <x v="7"/>
    <x v="638"/>
    <x v="545"/>
    <x v="20"/>
    <x v="2"/>
    <n v="63"/>
    <x v="0"/>
    <s v="Recovered"/>
    <x v="0"/>
    <x v="1"/>
    <n v="3000"/>
    <x v="0"/>
    <x v="4"/>
    <x v="2"/>
  </r>
  <r>
    <x v="849"/>
    <n v="75"/>
    <x v="0"/>
    <x v="8"/>
    <x v="8"/>
    <x v="639"/>
    <x v="644"/>
    <x v="0"/>
    <x v="0"/>
    <n v="65"/>
    <x v="1"/>
    <s v="Stable"/>
    <x v="3"/>
    <x v="1"/>
    <n v="18000"/>
    <x v="2"/>
    <x v="4"/>
    <x v="0"/>
  </r>
  <r>
    <x v="850"/>
    <n v="28"/>
    <x v="1"/>
    <x v="9"/>
    <x v="9"/>
    <x v="640"/>
    <x v="645"/>
    <x v="6"/>
    <x v="1"/>
    <n v="58"/>
    <x v="0"/>
    <s v="Recovered"/>
    <x v="2"/>
    <x v="1"/>
    <n v="100"/>
    <x v="1"/>
    <x v="3"/>
    <x v="1"/>
  </r>
  <r>
    <x v="851"/>
    <n v="52"/>
    <x v="0"/>
    <x v="10"/>
    <x v="10"/>
    <x v="558"/>
    <x v="293"/>
    <x v="20"/>
    <x v="3"/>
    <n v="59"/>
    <x v="0"/>
    <s v="Stable"/>
    <x v="0"/>
    <x v="0"/>
    <n v="800"/>
    <x v="0"/>
    <x v="3"/>
    <x v="1"/>
  </r>
  <r>
    <x v="852"/>
    <n v="67"/>
    <x v="1"/>
    <x v="11"/>
    <x v="11"/>
    <x v="517"/>
    <x v="519"/>
    <x v="2"/>
    <x v="0"/>
    <n v="66"/>
    <x v="0"/>
    <s v="Recovered"/>
    <x v="1"/>
    <x v="1"/>
    <n v="20000"/>
    <x v="2"/>
    <x v="4"/>
    <x v="0"/>
  </r>
  <r>
    <x v="853"/>
    <n v="35"/>
    <x v="0"/>
    <x v="12"/>
    <x v="12"/>
    <x v="641"/>
    <x v="370"/>
    <x v="27"/>
    <x v="0"/>
    <n v="60"/>
    <x v="0"/>
    <s v="Recovered"/>
    <x v="0"/>
    <x v="1"/>
    <n v="12000"/>
    <x v="1"/>
    <x v="3"/>
    <x v="0"/>
  </r>
  <r>
    <x v="854"/>
    <n v="50"/>
    <x v="1"/>
    <x v="13"/>
    <x v="13"/>
    <x v="642"/>
    <x v="272"/>
    <x v="7"/>
    <x v="1"/>
    <n v="61"/>
    <x v="0"/>
    <s v="Recovered"/>
    <x v="1"/>
    <x v="1"/>
    <n v="6000"/>
    <x v="0"/>
    <x v="4"/>
    <x v="1"/>
  </r>
  <r>
    <x v="855"/>
    <n v="60"/>
    <x v="0"/>
    <x v="14"/>
    <x v="14"/>
    <x v="643"/>
    <x v="646"/>
    <x v="22"/>
    <x v="1"/>
    <n v="62"/>
    <x v="0"/>
    <s v="Stable"/>
    <x v="0"/>
    <x v="1"/>
    <n v="4000"/>
    <x v="0"/>
    <x v="4"/>
    <x v="1"/>
  </r>
  <r>
    <x v="856"/>
    <n v="48"/>
    <x v="0"/>
    <x v="0"/>
    <x v="0"/>
    <x v="336"/>
    <x v="647"/>
    <x v="18"/>
    <x v="1"/>
    <n v="63"/>
    <x v="1"/>
    <s v="Recovered"/>
    <x v="0"/>
    <x v="1"/>
    <n v="15000"/>
    <x v="0"/>
    <x v="4"/>
    <x v="1"/>
  </r>
  <r>
    <x v="857"/>
    <n v="65"/>
    <x v="1"/>
    <x v="1"/>
    <x v="1"/>
    <x v="212"/>
    <x v="648"/>
    <x v="20"/>
    <x v="3"/>
    <n v="61"/>
    <x v="0"/>
    <s v="Stable"/>
    <x v="1"/>
    <x v="0"/>
    <n v="2000"/>
    <x v="2"/>
    <x v="4"/>
    <x v="3"/>
  </r>
  <r>
    <x v="858"/>
    <n v="30"/>
    <x v="0"/>
    <x v="2"/>
    <x v="2"/>
    <x v="321"/>
    <x v="649"/>
    <x v="26"/>
    <x v="3"/>
    <n v="59"/>
    <x v="0"/>
    <s v="Recovered"/>
    <x v="2"/>
    <x v="1"/>
    <n v="500"/>
    <x v="1"/>
    <x v="3"/>
    <x v="3"/>
  </r>
  <r>
    <x v="859"/>
    <n v="70"/>
    <x v="1"/>
    <x v="3"/>
    <x v="3"/>
    <x v="162"/>
    <x v="196"/>
    <x v="3"/>
    <x v="1"/>
    <n v="66"/>
    <x v="1"/>
    <s v="Stable"/>
    <x v="3"/>
    <x v="1"/>
    <n v="10000"/>
    <x v="2"/>
    <x v="4"/>
    <x v="1"/>
  </r>
  <r>
    <x v="860"/>
    <n v="55"/>
    <x v="0"/>
    <x v="4"/>
    <x v="4"/>
    <x v="74"/>
    <x v="650"/>
    <x v="13"/>
    <x v="2"/>
    <n v="68"/>
    <x v="0"/>
    <s v="Recovered"/>
    <x v="0"/>
    <x v="1"/>
    <n v="25000"/>
    <x v="0"/>
    <x v="4"/>
    <x v="2"/>
  </r>
  <r>
    <x v="861"/>
    <n v="68"/>
    <x v="1"/>
    <x v="5"/>
    <x v="5"/>
    <x v="644"/>
    <x v="20"/>
    <x v="28"/>
    <x v="1"/>
    <n v="62"/>
    <x v="0"/>
    <s v="Stable"/>
    <x v="0"/>
    <x v="1"/>
    <n v="1000"/>
    <x v="2"/>
    <x v="4"/>
    <x v="1"/>
  </r>
  <r>
    <x v="862"/>
    <n v="45"/>
    <x v="0"/>
    <x v="6"/>
    <x v="6"/>
    <x v="645"/>
    <x v="651"/>
    <x v="21"/>
    <x v="2"/>
    <n v="64"/>
    <x v="0"/>
    <s v="Recovered"/>
    <x v="1"/>
    <x v="1"/>
    <n v="8000"/>
    <x v="0"/>
    <x v="4"/>
    <x v="2"/>
  </r>
  <r>
    <x v="863"/>
    <n v="40"/>
    <x v="1"/>
    <x v="7"/>
    <x v="7"/>
    <x v="646"/>
    <x v="66"/>
    <x v="20"/>
    <x v="1"/>
    <n v="64"/>
    <x v="0"/>
    <s v="Recovered"/>
    <x v="0"/>
    <x v="1"/>
    <n v="3000"/>
    <x v="0"/>
    <x v="4"/>
    <x v="1"/>
  </r>
  <r>
    <x v="864"/>
    <n v="78"/>
    <x v="0"/>
    <x v="8"/>
    <x v="8"/>
    <x v="647"/>
    <x v="652"/>
    <x v="14"/>
    <x v="2"/>
    <n v="66"/>
    <x v="1"/>
    <s v="Stable"/>
    <x v="3"/>
    <x v="1"/>
    <n v="18000"/>
    <x v="2"/>
    <x v="4"/>
    <x v="2"/>
  </r>
  <r>
    <x v="865"/>
    <n v="25"/>
    <x v="1"/>
    <x v="9"/>
    <x v="9"/>
    <x v="648"/>
    <x v="294"/>
    <x v="6"/>
    <x v="3"/>
    <n v="59"/>
    <x v="0"/>
    <s v="Recovered"/>
    <x v="2"/>
    <x v="0"/>
    <n v="100"/>
    <x v="1"/>
    <x v="3"/>
    <x v="3"/>
  </r>
  <r>
    <x v="866"/>
    <n v="52"/>
    <x v="0"/>
    <x v="10"/>
    <x v="10"/>
    <x v="649"/>
    <x v="24"/>
    <x v="15"/>
    <x v="1"/>
    <n v="60"/>
    <x v="0"/>
    <s v="Stable"/>
    <x v="0"/>
    <x v="1"/>
    <n v="800"/>
    <x v="0"/>
    <x v="3"/>
    <x v="1"/>
  </r>
  <r>
    <x v="867"/>
    <n v="58"/>
    <x v="1"/>
    <x v="11"/>
    <x v="11"/>
    <x v="650"/>
    <x v="304"/>
    <x v="0"/>
    <x v="1"/>
    <n v="67"/>
    <x v="0"/>
    <s v="Recovered"/>
    <x v="1"/>
    <x v="1"/>
    <n v="20000"/>
    <x v="0"/>
    <x v="4"/>
    <x v="0"/>
  </r>
  <r>
    <x v="868"/>
    <n v="32"/>
    <x v="0"/>
    <x v="12"/>
    <x v="12"/>
    <x v="628"/>
    <x v="653"/>
    <x v="24"/>
    <x v="3"/>
    <n v="61"/>
    <x v="0"/>
    <s v="Recovered"/>
    <x v="0"/>
    <x v="1"/>
    <n v="12000"/>
    <x v="1"/>
    <x v="4"/>
    <x v="3"/>
  </r>
  <r>
    <x v="869"/>
    <n v="55"/>
    <x v="1"/>
    <x v="13"/>
    <x v="13"/>
    <x v="651"/>
    <x v="654"/>
    <x v="18"/>
    <x v="3"/>
    <n v="62"/>
    <x v="0"/>
    <s v="Recovered"/>
    <x v="1"/>
    <x v="1"/>
    <n v="6000"/>
    <x v="0"/>
    <x v="4"/>
    <x v="3"/>
  </r>
  <r>
    <x v="870"/>
    <n v="65"/>
    <x v="0"/>
    <x v="14"/>
    <x v="14"/>
    <x v="652"/>
    <x v="446"/>
    <x v="24"/>
    <x v="3"/>
    <n v="63"/>
    <x v="0"/>
    <s v="Stable"/>
    <x v="0"/>
    <x v="1"/>
    <n v="4000"/>
    <x v="2"/>
    <x v="4"/>
    <x v="1"/>
  </r>
  <r>
    <x v="871"/>
    <n v="55"/>
    <x v="0"/>
    <x v="0"/>
    <x v="0"/>
    <x v="653"/>
    <x v="655"/>
    <x v="0"/>
    <x v="3"/>
    <n v="64"/>
    <x v="1"/>
    <s v="Recovered"/>
    <x v="1"/>
    <x v="1"/>
    <n v="15000"/>
    <x v="0"/>
    <x v="4"/>
    <x v="1"/>
  </r>
  <r>
    <x v="872"/>
    <n v="62"/>
    <x v="1"/>
    <x v="1"/>
    <x v="1"/>
    <x v="654"/>
    <x v="656"/>
    <x v="20"/>
    <x v="2"/>
    <n v="62"/>
    <x v="0"/>
    <s v="Stable"/>
    <x v="0"/>
    <x v="0"/>
    <n v="2000"/>
    <x v="2"/>
    <x v="4"/>
    <x v="2"/>
  </r>
  <r>
    <x v="873"/>
    <n v="35"/>
    <x v="0"/>
    <x v="2"/>
    <x v="2"/>
    <x v="655"/>
    <x v="657"/>
    <x v="2"/>
    <x v="3"/>
    <n v="60"/>
    <x v="1"/>
    <s v="Recovered"/>
    <x v="2"/>
    <x v="0"/>
    <n v="500"/>
    <x v="1"/>
    <x v="3"/>
    <x v="3"/>
  </r>
  <r>
    <x v="874"/>
    <n v="78"/>
    <x v="1"/>
    <x v="3"/>
    <x v="3"/>
    <x v="538"/>
    <x v="658"/>
    <x v="4"/>
    <x v="1"/>
    <n v="67"/>
    <x v="0"/>
    <s v="Stable"/>
    <x v="3"/>
    <x v="1"/>
    <n v="10000"/>
    <x v="2"/>
    <x v="4"/>
    <x v="1"/>
  </r>
  <r>
    <x v="875"/>
    <n v="53"/>
    <x v="0"/>
    <x v="4"/>
    <x v="4"/>
    <x v="656"/>
    <x v="275"/>
    <x v="4"/>
    <x v="2"/>
    <n v="69"/>
    <x v="1"/>
    <s v="Recovered"/>
    <x v="0"/>
    <x v="0"/>
    <n v="25000"/>
    <x v="0"/>
    <x v="4"/>
    <x v="2"/>
  </r>
  <r>
    <x v="876"/>
    <n v="72"/>
    <x v="1"/>
    <x v="5"/>
    <x v="5"/>
    <x v="657"/>
    <x v="159"/>
    <x v="28"/>
    <x v="2"/>
    <n v="63"/>
    <x v="0"/>
    <s v="Stable"/>
    <x v="0"/>
    <x v="0"/>
    <n v="1000"/>
    <x v="2"/>
    <x v="4"/>
    <x v="2"/>
  </r>
  <r>
    <x v="877"/>
    <n v="60"/>
    <x v="0"/>
    <x v="6"/>
    <x v="6"/>
    <x v="658"/>
    <x v="659"/>
    <x v="21"/>
    <x v="1"/>
    <n v="65"/>
    <x v="1"/>
    <s v="Recovered"/>
    <x v="1"/>
    <x v="0"/>
    <n v="8000"/>
    <x v="0"/>
    <x v="4"/>
    <x v="1"/>
  </r>
  <r>
    <x v="878"/>
    <n v="45"/>
    <x v="1"/>
    <x v="7"/>
    <x v="7"/>
    <x v="659"/>
    <x v="652"/>
    <x v="20"/>
    <x v="2"/>
    <n v="65"/>
    <x v="0"/>
    <s v="Recovered"/>
    <x v="0"/>
    <x v="1"/>
    <n v="3000"/>
    <x v="0"/>
    <x v="4"/>
    <x v="2"/>
  </r>
  <r>
    <x v="879"/>
    <n v="75"/>
    <x v="0"/>
    <x v="8"/>
    <x v="8"/>
    <x v="660"/>
    <x v="516"/>
    <x v="15"/>
    <x v="1"/>
    <n v="67"/>
    <x v="1"/>
    <s v="Stable"/>
    <x v="3"/>
    <x v="0"/>
    <n v="18000"/>
    <x v="2"/>
    <x v="4"/>
    <x v="1"/>
  </r>
  <r>
    <x v="880"/>
    <n v="28"/>
    <x v="1"/>
    <x v="9"/>
    <x v="9"/>
    <x v="661"/>
    <x v="660"/>
    <x v="6"/>
    <x v="3"/>
    <n v="60"/>
    <x v="0"/>
    <s v="Recovered"/>
    <x v="2"/>
    <x v="1"/>
    <n v="100"/>
    <x v="1"/>
    <x v="3"/>
    <x v="3"/>
  </r>
  <r>
    <x v="881"/>
    <n v="52"/>
    <x v="0"/>
    <x v="10"/>
    <x v="10"/>
    <x v="662"/>
    <x v="661"/>
    <x v="8"/>
    <x v="1"/>
    <n v="61"/>
    <x v="0"/>
    <s v="Stable"/>
    <x v="0"/>
    <x v="1"/>
    <n v="800"/>
    <x v="0"/>
    <x v="4"/>
    <x v="1"/>
  </r>
  <r>
    <x v="882"/>
    <n v="67"/>
    <x v="1"/>
    <x v="11"/>
    <x v="11"/>
    <x v="506"/>
    <x v="662"/>
    <x v="8"/>
    <x v="0"/>
    <n v="68"/>
    <x v="0"/>
    <s v="Recovered"/>
    <x v="1"/>
    <x v="1"/>
    <n v="20000"/>
    <x v="2"/>
    <x v="4"/>
    <x v="0"/>
  </r>
  <r>
    <x v="883"/>
    <n v="35"/>
    <x v="0"/>
    <x v="12"/>
    <x v="12"/>
    <x v="142"/>
    <x v="663"/>
    <x v="27"/>
    <x v="2"/>
    <n v="62"/>
    <x v="0"/>
    <s v="Recovered"/>
    <x v="0"/>
    <x v="1"/>
    <n v="12000"/>
    <x v="1"/>
    <x v="4"/>
    <x v="2"/>
  </r>
  <r>
    <x v="884"/>
    <n v="50"/>
    <x v="1"/>
    <x v="13"/>
    <x v="13"/>
    <x v="58"/>
    <x v="664"/>
    <x v="25"/>
    <x v="0"/>
    <n v="63"/>
    <x v="0"/>
    <s v="Recovered"/>
    <x v="1"/>
    <x v="1"/>
    <n v="6000"/>
    <x v="0"/>
    <x v="4"/>
    <x v="0"/>
  </r>
  <r>
    <x v="885"/>
    <n v="60"/>
    <x v="0"/>
    <x v="14"/>
    <x v="14"/>
    <x v="663"/>
    <x v="665"/>
    <x v="22"/>
    <x v="1"/>
    <n v="64"/>
    <x v="0"/>
    <s v="Stable"/>
    <x v="0"/>
    <x v="1"/>
    <n v="4000"/>
    <x v="0"/>
    <x v="4"/>
    <x v="1"/>
  </r>
  <r>
    <x v="886"/>
    <n v="48"/>
    <x v="0"/>
    <x v="0"/>
    <x v="0"/>
    <x v="664"/>
    <x v="530"/>
    <x v="22"/>
    <x v="0"/>
    <n v="65"/>
    <x v="1"/>
    <s v="Recovered"/>
    <x v="0"/>
    <x v="1"/>
    <n v="15000"/>
    <x v="0"/>
    <x v="4"/>
    <x v="0"/>
  </r>
  <r>
    <x v="887"/>
    <n v="65"/>
    <x v="1"/>
    <x v="1"/>
    <x v="1"/>
    <x v="665"/>
    <x v="650"/>
    <x v="1"/>
    <x v="2"/>
    <n v="63"/>
    <x v="0"/>
    <s v="Stable"/>
    <x v="1"/>
    <x v="1"/>
    <n v="2000"/>
    <x v="2"/>
    <x v="4"/>
    <x v="2"/>
  </r>
  <r>
    <x v="888"/>
    <n v="30"/>
    <x v="0"/>
    <x v="2"/>
    <x v="2"/>
    <x v="635"/>
    <x v="666"/>
    <x v="19"/>
    <x v="2"/>
    <n v="61"/>
    <x v="0"/>
    <s v="Recovered"/>
    <x v="2"/>
    <x v="0"/>
    <n v="500"/>
    <x v="1"/>
    <x v="4"/>
    <x v="2"/>
  </r>
  <r>
    <x v="889"/>
    <n v="70"/>
    <x v="1"/>
    <x v="3"/>
    <x v="3"/>
    <x v="10"/>
    <x v="667"/>
    <x v="12"/>
    <x v="0"/>
    <n v="68"/>
    <x v="1"/>
    <s v="Stable"/>
    <x v="3"/>
    <x v="1"/>
    <n v="10000"/>
    <x v="2"/>
    <x v="4"/>
    <x v="0"/>
  </r>
  <r>
    <x v="890"/>
    <n v="55"/>
    <x v="0"/>
    <x v="4"/>
    <x v="4"/>
    <x v="312"/>
    <x v="668"/>
    <x v="13"/>
    <x v="1"/>
    <n v="70"/>
    <x v="0"/>
    <s v="Recovered"/>
    <x v="0"/>
    <x v="0"/>
    <n v="25000"/>
    <x v="0"/>
    <x v="4"/>
    <x v="0"/>
  </r>
  <r>
    <x v="891"/>
    <n v="45"/>
    <x v="0"/>
    <x v="6"/>
    <x v="6"/>
    <x v="47"/>
    <x v="307"/>
    <x v="21"/>
    <x v="2"/>
    <n v="66"/>
    <x v="0"/>
    <s v="Recovered"/>
    <x v="1"/>
    <x v="1"/>
    <n v="8000"/>
    <x v="0"/>
    <x v="4"/>
    <x v="2"/>
  </r>
  <r>
    <x v="892"/>
    <n v="40"/>
    <x v="1"/>
    <x v="7"/>
    <x v="7"/>
    <x v="666"/>
    <x v="16"/>
    <x v="20"/>
    <x v="3"/>
    <n v="66"/>
    <x v="0"/>
    <s v="Recovered"/>
    <x v="0"/>
    <x v="1"/>
    <n v="3000"/>
    <x v="0"/>
    <x v="4"/>
    <x v="3"/>
  </r>
  <r>
    <x v="893"/>
    <n v="78"/>
    <x v="0"/>
    <x v="8"/>
    <x v="8"/>
    <x v="667"/>
    <x v="123"/>
    <x v="0"/>
    <x v="1"/>
    <n v="68"/>
    <x v="1"/>
    <s v="Stable"/>
    <x v="3"/>
    <x v="1"/>
    <n v="18000"/>
    <x v="2"/>
    <x v="4"/>
    <x v="1"/>
  </r>
  <r>
    <x v="894"/>
    <n v="25"/>
    <x v="1"/>
    <x v="9"/>
    <x v="9"/>
    <x v="623"/>
    <x v="669"/>
    <x v="6"/>
    <x v="3"/>
    <n v="61"/>
    <x v="0"/>
    <s v="Recovered"/>
    <x v="2"/>
    <x v="0"/>
    <n v="100"/>
    <x v="1"/>
    <x v="4"/>
    <x v="3"/>
  </r>
  <r>
    <x v="895"/>
    <n v="52"/>
    <x v="0"/>
    <x v="10"/>
    <x v="10"/>
    <x v="308"/>
    <x v="670"/>
    <x v="8"/>
    <x v="2"/>
    <n v="62"/>
    <x v="0"/>
    <s v="Stable"/>
    <x v="0"/>
    <x v="1"/>
    <n v="800"/>
    <x v="0"/>
    <x v="4"/>
    <x v="2"/>
  </r>
  <r>
    <x v="896"/>
    <n v="58"/>
    <x v="1"/>
    <x v="11"/>
    <x v="11"/>
    <x v="55"/>
    <x v="671"/>
    <x v="8"/>
    <x v="0"/>
    <n v="69"/>
    <x v="0"/>
    <s v="Recovered"/>
    <x v="1"/>
    <x v="1"/>
    <n v="20000"/>
    <x v="0"/>
    <x v="4"/>
    <x v="0"/>
  </r>
  <r>
    <x v="897"/>
    <n v="32"/>
    <x v="0"/>
    <x v="12"/>
    <x v="12"/>
    <x v="668"/>
    <x v="672"/>
    <x v="17"/>
    <x v="1"/>
    <n v="63"/>
    <x v="0"/>
    <s v="Recovered"/>
    <x v="0"/>
    <x v="1"/>
    <n v="12000"/>
    <x v="1"/>
    <x v="4"/>
    <x v="1"/>
  </r>
  <r>
    <x v="898"/>
    <n v="55"/>
    <x v="1"/>
    <x v="13"/>
    <x v="13"/>
    <x v="168"/>
    <x v="673"/>
    <x v="7"/>
    <x v="1"/>
    <n v="64"/>
    <x v="0"/>
    <s v="Recovered"/>
    <x v="1"/>
    <x v="1"/>
    <n v="6000"/>
    <x v="0"/>
    <x v="4"/>
    <x v="1"/>
  </r>
  <r>
    <x v="899"/>
    <n v="65"/>
    <x v="0"/>
    <x v="14"/>
    <x v="14"/>
    <x v="355"/>
    <x v="674"/>
    <x v="10"/>
    <x v="2"/>
    <n v="65"/>
    <x v="0"/>
    <s v="Stable"/>
    <x v="0"/>
    <x v="1"/>
    <n v="4000"/>
    <x v="2"/>
    <x v="4"/>
    <x v="2"/>
  </r>
  <r>
    <x v="900"/>
    <n v="55"/>
    <x v="0"/>
    <x v="0"/>
    <x v="0"/>
    <x v="669"/>
    <x v="675"/>
    <x v="22"/>
    <x v="2"/>
    <n v="66"/>
    <x v="1"/>
    <s v="Recovered"/>
    <x v="1"/>
    <x v="1"/>
    <n v="15000"/>
    <x v="0"/>
    <x v="4"/>
    <x v="2"/>
  </r>
  <r>
    <x v="901"/>
    <n v="62"/>
    <x v="1"/>
    <x v="1"/>
    <x v="1"/>
    <x v="670"/>
    <x v="52"/>
    <x v="1"/>
    <x v="1"/>
    <n v="64"/>
    <x v="0"/>
    <s v="Stable"/>
    <x v="0"/>
    <x v="1"/>
    <n v="2000"/>
    <x v="2"/>
    <x v="4"/>
    <x v="1"/>
  </r>
  <r>
    <x v="902"/>
    <n v="35"/>
    <x v="0"/>
    <x v="2"/>
    <x v="2"/>
    <x v="671"/>
    <x v="136"/>
    <x v="2"/>
    <x v="0"/>
    <n v="62"/>
    <x v="1"/>
    <s v="Recovered"/>
    <x v="2"/>
    <x v="1"/>
    <n v="500"/>
    <x v="1"/>
    <x v="4"/>
    <x v="2"/>
  </r>
  <r>
    <x v="903"/>
    <n v="78"/>
    <x v="1"/>
    <x v="3"/>
    <x v="3"/>
    <x v="365"/>
    <x v="533"/>
    <x v="12"/>
    <x v="3"/>
    <n v="69"/>
    <x v="0"/>
    <s v="Stable"/>
    <x v="3"/>
    <x v="0"/>
    <n v="10000"/>
    <x v="2"/>
    <x v="4"/>
    <x v="3"/>
  </r>
  <r>
    <x v="904"/>
    <n v="53"/>
    <x v="0"/>
    <x v="4"/>
    <x v="4"/>
    <x v="288"/>
    <x v="557"/>
    <x v="13"/>
    <x v="1"/>
    <n v="71"/>
    <x v="1"/>
    <s v="Recovered"/>
    <x v="0"/>
    <x v="1"/>
    <n v="25000"/>
    <x v="0"/>
    <x v="4"/>
    <x v="1"/>
  </r>
  <r>
    <x v="905"/>
    <n v="72"/>
    <x v="1"/>
    <x v="5"/>
    <x v="5"/>
    <x v="529"/>
    <x v="676"/>
    <x v="28"/>
    <x v="2"/>
    <n v="65"/>
    <x v="0"/>
    <s v="Stable"/>
    <x v="0"/>
    <x v="1"/>
    <n v="1000"/>
    <x v="2"/>
    <x v="4"/>
    <x v="2"/>
  </r>
  <r>
    <x v="906"/>
    <n v="60"/>
    <x v="0"/>
    <x v="6"/>
    <x v="6"/>
    <x v="672"/>
    <x v="303"/>
    <x v="0"/>
    <x v="0"/>
    <n v="67"/>
    <x v="1"/>
    <s v="Recovered"/>
    <x v="1"/>
    <x v="1"/>
    <n v="8000"/>
    <x v="0"/>
    <x v="4"/>
    <x v="2"/>
  </r>
  <r>
    <x v="907"/>
    <n v="45"/>
    <x v="1"/>
    <x v="7"/>
    <x v="7"/>
    <x v="673"/>
    <x v="677"/>
    <x v="20"/>
    <x v="2"/>
    <n v="67"/>
    <x v="0"/>
    <s v="Recovered"/>
    <x v="0"/>
    <x v="1"/>
    <n v="3000"/>
    <x v="0"/>
    <x v="4"/>
    <x v="2"/>
  </r>
  <r>
    <x v="908"/>
    <n v="75"/>
    <x v="0"/>
    <x v="8"/>
    <x v="8"/>
    <x v="321"/>
    <x v="678"/>
    <x v="14"/>
    <x v="3"/>
    <n v="69"/>
    <x v="1"/>
    <s v="Stable"/>
    <x v="3"/>
    <x v="1"/>
    <n v="18000"/>
    <x v="2"/>
    <x v="4"/>
    <x v="3"/>
  </r>
  <r>
    <x v="909"/>
    <n v="28"/>
    <x v="1"/>
    <x v="9"/>
    <x v="9"/>
    <x v="462"/>
    <x v="679"/>
    <x v="6"/>
    <x v="3"/>
    <n v="62"/>
    <x v="0"/>
    <s v="Recovered"/>
    <x v="2"/>
    <x v="0"/>
    <n v="100"/>
    <x v="1"/>
    <x v="4"/>
    <x v="3"/>
  </r>
  <r>
    <x v="910"/>
    <n v="52"/>
    <x v="0"/>
    <x v="10"/>
    <x v="10"/>
    <x v="674"/>
    <x v="680"/>
    <x v="15"/>
    <x v="2"/>
    <n v="63"/>
    <x v="0"/>
    <s v="Stable"/>
    <x v="0"/>
    <x v="0"/>
    <n v="800"/>
    <x v="0"/>
    <x v="4"/>
    <x v="4"/>
  </r>
  <r>
    <x v="911"/>
    <n v="67"/>
    <x v="1"/>
    <x v="11"/>
    <x v="11"/>
    <x v="675"/>
    <x v="255"/>
    <x v="8"/>
    <x v="1"/>
    <n v="70"/>
    <x v="0"/>
    <s v="Recovered"/>
    <x v="1"/>
    <x v="0"/>
    <n v="20000"/>
    <x v="2"/>
    <x v="4"/>
    <x v="1"/>
  </r>
  <r>
    <x v="912"/>
    <n v="35"/>
    <x v="0"/>
    <x v="12"/>
    <x v="12"/>
    <x v="676"/>
    <x v="56"/>
    <x v="9"/>
    <x v="1"/>
    <n v="64"/>
    <x v="0"/>
    <s v="Recovered"/>
    <x v="0"/>
    <x v="1"/>
    <n v="12000"/>
    <x v="1"/>
    <x v="4"/>
    <x v="0"/>
  </r>
  <r>
    <x v="913"/>
    <n v="50"/>
    <x v="1"/>
    <x v="13"/>
    <x v="13"/>
    <x v="316"/>
    <x v="681"/>
    <x v="26"/>
    <x v="2"/>
    <n v="65"/>
    <x v="0"/>
    <s v="Recovered"/>
    <x v="1"/>
    <x v="0"/>
    <n v="6000"/>
    <x v="0"/>
    <x v="4"/>
    <x v="2"/>
  </r>
  <r>
    <x v="914"/>
    <n v="60"/>
    <x v="0"/>
    <x v="14"/>
    <x v="14"/>
    <x v="592"/>
    <x v="682"/>
    <x v="10"/>
    <x v="2"/>
    <n v="66"/>
    <x v="0"/>
    <s v="Stable"/>
    <x v="0"/>
    <x v="0"/>
    <n v="4000"/>
    <x v="0"/>
    <x v="4"/>
    <x v="2"/>
  </r>
  <r>
    <x v="915"/>
    <n v="48"/>
    <x v="0"/>
    <x v="0"/>
    <x v="0"/>
    <x v="677"/>
    <x v="683"/>
    <x v="0"/>
    <x v="1"/>
    <n v="67"/>
    <x v="1"/>
    <s v="Recovered"/>
    <x v="0"/>
    <x v="0"/>
    <n v="15000"/>
    <x v="0"/>
    <x v="4"/>
    <x v="1"/>
  </r>
  <r>
    <x v="916"/>
    <n v="65"/>
    <x v="1"/>
    <x v="1"/>
    <x v="1"/>
    <x v="678"/>
    <x v="684"/>
    <x v="1"/>
    <x v="3"/>
    <n v="65"/>
    <x v="0"/>
    <s v="Stable"/>
    <x v="1"/>
    <x v="0"/>
    <n v="2000"/>
    <x v="2"/>
    <x v="4"/>
    <x v="3"/>
  </r>
  <r>
    <x v="917"/>
    <n v="30"/>
    <x v="0"/>
    <x v="2"/>
    <x v="2"/>
    <x v="679"/>
    <x v="103"/>
    <x v="19"/>
    <x v="0"/>
    <n v="63"/>
    <x v="0"/>
    <s v="Recovered"/>
    <x v="2"/>
    <x v="1"/>
    <n v="500"/>
    <x v="1"/>
    <x v="4"/>
    <x v="0"/>
  </r>
  <r>
    <x v="918"/>
    <n v="70"/>
    <x v="1"/>
    <x v="3"/>
    <x v="3"/>
    <x v="481"/>
    <x v="456"/>
    <x v="4"/>
    <x v="1"/>
    <n v="70"/>
    <x v="1"/>
    <s v="Stable"/>
    <x v="3"/>
    <x v="1"/>
    <n v="10000"/>
    <x v="2"/>
    <x v="4"/>
    <x v="1"/>
  </r>
  <r>
    <x v="919"/>
    <n v="55"/>
    <x v="0"/>
    <x v="4"/>
    <x v="4"/>
    <x v="461"/>
    <x v="685"/>
    <x v="16"/>
    <x v="3"/>
    <n v="72"/>
    <x v="0"/>
    <s v="Recovered"/>
    <x v="0"/>
    <x v="1"/>
    <n v="25000"/>
    <x v="0"/>
    <x v="4"/>
    <x v="3"/>
  </r>
  <r>
    <x v="920"/>
    <n v="68"/>
    <x v="1"/>
    <x v="5"/>
    <x v="5"/>
    <x v="621"/>
    <x v="686"/>
    <x v="1"/>
    <x v="0"/>
    <n v="66"/>
    <x v="0"/>
    <s v="Stable"/>
    <x v="0"/>
    <x v="1"/>
    <n v="1000"/>
    <x v="2"/>
    <x v="4"/>
    <x v="0"/>
  </r>
  <r>
    <x v="921"/>
    <n v="45"/>
    <x v="0"/>
    <x v="6"/>
    <x v="6"/>
    <x v="346"/>
    <x v="687"/>
    <x v="6"/>
    <x v="3"/>
    <n v="68"/>
    <x v="0"/>
    <s v="Recovered"/>
    <x v="1"/>
    <x v="0"/>
    <n v="8000"/>
    <x v="0"/>
    <x v="4"/>
    <x v="1"/>
  </r>
  <r>
    <x v="922"/>
    <n v="40"/>
    <x v="1"/>
    <x v="7"/>
    <x v="7"/>
    <x v="680"/>
    <x v="688"/>
    <x v="7"/>
    <x v="3"/>
    <n v="68"/>
    <x v="0"/>
    <s v="Recovered"/>
    <x v="0"/>
    <x v="0"/>
    <n v="3000"/>
    <x v="0"/>
    <x v="4"/>
    <x v="3"/>
  </r>
  <r>
    <x v="923"/>
    <n v="78"/>
    <x v="0"/>
    <x v="8"/>
    <x v="8"/>
    <x v="681"/>
    <x v="118"/>
    <x v="0"/>
    <x v="2"/>
    <n v="70"/>
    <x v="1"/>
    <s v="Stable"/>
    <x v="3"/>
    <x v="1"/>
    <n v="18000"/>
    <x v="2"/>
    <x v="4"/>
    <x v="2"/>
  </r>
  <r>
    <x v="924"/>
    <n v="25"/>
    <x v="1"/>
    <x v="9"/>
    <x v="9"/>
    <x v="428"/>
    <x v="689"/>
    <x v="6"/>
    <x v="0"/>
    <n v="63"/>
    <x v="0"/>
    <s v="Recovered"/>
    <x v="2"/>
    <x v="1"/>
    <n v="100"/>
    <x v="1"/>
    <x v="4"/>
    <x v="0"/>
  </r>
  <r>
    <x v="925"/>
    <n v="52"/>
    <x v="0"/>
    <x v="10"/>
    <x v="10"/>
    <x v="494"/>
    <x v="690"/>
    <x v="8"/>
    <x v="0"/>
    <n v="64"/>
    <x v="0"/>
    <s v="Stable"/>
    <x v="0"/>
    <x v="1"/>
    <n v="800"/>
    <x v="0"/>
    <x v="4"/>
    <x v="2"/>
  </r>
  <r>
    <x v="926"/>
    <n v="58"/>
    <x v="1"/>
    <x v="11"/>
    <x v="11"/>
    <x v="682"/>
    <x v="522"/>
    <x v="8"/>
    <x v="1"/>
    <n v="71"/>
    <x v="0"/>
    <s v="Recovered"/>
    <x v="1"/>
    <x v="1"/>
    <n v="20000"/>
    <x v="0"/>
    <x v="4"/>
    <x v="1"/>
  </r>
  <r>
    <x v="927"/>
    <n v="32"/>
    <x v="0"/>
    <x v="12"/>
    <x v="12"/>
    <x v="169"/>
    <x v="46"/>
    <x v="25"/>
    <x v="0"/>
    <n v="65"/>
    <x v="0"/>
    <s v="Recovered"/>
    <x v="0"/>
    <x v="0"/>
    <n v="12000"/>
    <x v="1"/>
    <x v="4"/>
    <x v="0"/>
  </r>
  <r>
    <x v="928"/>
    <n v="55"/>
    <x v="1"/>
    <x v="13"/>
    <x v="13"/>
    <x v="357"/>
    <x v="60"/>
    <x v="26"/>
    <x v="1"/>
    <n v="66"/>
    <x v="0"/>
    <s v="Recovered"/>
    <x v="1"/>
    <x v="1"/>
    <n v="6000"/>
    <x v="0"/>
    <x v="4"/>
    <x v="0"/>
  </r>
  <r>
    <x v="929"/>
    <n v="65"/>
    <x v="0"/>
    <x v="14"/>
    <x v="14"/>
    <x v="683"/>
    <x v="164"/>
    <x v="24"/>
    <x v="1"/>
    <n v="67"/>
    <x v="0"/>
    <s v="Stable"/>
    <x v="0"/>
    <x v="0"/>
    <n v="4000"/>
    <x v="2"/>
    <x v="4"/>
    <x v="1"/>
  </r>
  <r>
    <x v="930"/>
    <n v="55"/>
    <x v="0"/>
    <x v="0"/>
    <x v="0"/>
    <x v="335"/>
    <x v="691"/>
    <x v="22"/>
    <x v="0"/>
    <n v="68"/>
    <x v="1"/>
    <s v="Recovered"/>
    <x v="1"/>
    <x v="1"/>
    <n v="15000"/>
    <x v="0"/>
    <x v="4"/>
    <x v="2"/>
  </r>
  <r>
    <x v="931"/>
    <n v="62"/>
    <x v="1"/>
    <x v="1"/>
    <x v="1"/>
    <x v="115"/>
    <x v="692"/>
    <x v="22"/>
    <x v="2"/>
    <n v="66"/>
    <x v="0"/>
    <s v="Stable"/>
    <x v="0"/>
    <x v="1"/>
    <n v="2000"/>
    <x v="2"/>
    <x v="4"/>
    <x v="4"/>
  </r>
  <r>
    <x v="932"/>
    <n v="35"/>
    <x v="0"/>
    <x v="2"/>
    <x v="2"/>
    <x v="329"/>
    <x v="693"/>
    <x v="19"/>
    <x v="0"/>
    <n v="64"/>
    <x v="1"/>
    <s v="Recovered"/>
    <x v="2"/>
    <x v="1"/>
    <n v="500"/>
    <x v="1"/>
    <x v="4"/>
    <x v="0"/>
  </r>
  <r>
    <x v="933"/>
    <n v="78"/>
    <x v="1"/>
    <x v="3"/>
    <x v="3"/>
    <x v="684"/>
    <x v="694"/>
    <x v="4"/>
    <x v="1"/>
    <n v="71"/>
    <x v="0"/>
    <s v="Stable"/>
    <x v="3"/>
    <x v="1"/>
    <n v="10000"/>
    <x v="2"/>
    <x v="4"/>
    <x v="1"/>
  </r>
  <r>
    <x v="934"/>
    <n v="53"/>
    <x v="0"/>
    <x v="4"/>
    <x v="4"/>
    <x v="456"/>
    <x v="695"/>
    <x v="13"/>
    <x v="3"/>
    <n v="73"/>
    <x v="1"/>
    <s v="Recovered"/>
    <x v="0"/>
    <x v="0"/>
    <n v="25000"/>
    <x v="0"/>
    <x v="4"/>
    <x v="1"/>
  </r>
  <r>
    <x v="935"/>
    <n v="72"/>
    <x v="1"/>
    <x v="5"/>
    <x v="5"/>
    <x v="354"/>
    <x v="696"/>
    <x v="18"/>
    <x v="0"/>
    <n v="67"/>
    <x v="0"/>
    <s v="Stable"/>
    <x v="0"/>
    <x v="1"/>
    <n v="1000"/>
    <x v="2"/>
    <x v="4"/>
    <x v="0"/>
  </r>
  <r>
    <x v="936"/>
    <n v="60"/>
    <x v="0"/>
    <x v="6"/>
    <x v="6"/>
    <x v="302"/>
    <x v="343"/>
    <x v="6"/>
    <x v="1"/>
    <n v="69"/>
    <x v="1"/>
    <s v="Recovered"/>
    <x v="1"/>
    <x v="1"/>
    <n v="8000"/>
    <x v="0"/>
    <x v="4"/>
    <x v="1"/>
  </r>
  <r>
    <x v="937"/>
    <n v="45"/>
    <x v="1"/>
    <x v="7"/>
    <x v="7"/>
    <x v="124"/>
    <x v="697"/>
    <x v="7"/>
    <x v="3"/>
    <n v="69"/>
    <x v="0"/>
    <s v="Recovered"/>
    <x v="0"/>
    <x v="1"/>
    <n v="3000"/>
    <x v="0"/>
    <x v="4"/>
    <x v="3"/>
  </r>
  <r>
    <x v="938"/>
    <n v="75"/>
    <x v="0"/>
    <x v="8"/>
    <x v="8"/>
    <x v="685"/>
    <x v="158"/>
    <x v="14"/>
    <x v="1"/>
    <n v="71"/>
    <x v="1"/>
    <s v="Stable"/>
    <x v="3"/>
    <x v="0"/>
    <n v="18000"/>
    <x v="2"/>
    <x v="4"/>
    <x v="1"/>
  </r>
  <r>
    <x v="939"/>
    <n v="28"/>
    <x v="1"/>
    <x v="9"/>
    <x v="9"/>
    <x v="78"/>
    <x v="698"/>
    <x v="23"/>
    <x v="3"/>
    <n v="64"/>
    <x v="0"/>
    <s v="Recovered"/>
    <x v="2"/>
    <x v="1"/>
    <n v="100"/>
    <x v="1"/>
    <x v="4"/>
    <x v="3"/>
  </r>
  <r>
    <x v="940"/>
    <n v="52"/>
    <x v="0"/>
    <x v="10"/>
    <x v="10"/>
    <x v="204"/>
    <x v="699"/>
    <x v="15"/>
    <x v="0"/>
    <n v="65"/>
    <x v="0"/>
    <s v="Stable"/>
    <x v="0"/>
    <x v="1"/>
    <n v="800"/>
    <x v="0"/>
    <x v="4"/>
    <x v="0"/>
  </r>
  <r>
    <x v="941"/>
    <n v="67"/>
    <x v="1"/>
    <x v="11"/>
    <x v="11"/>
    <x v="686"/>
    <x v="54"/>
    <x v="0"/>
    <x v="0"/>
    <n v="72"/>
    <x v="0"/>
    <s v="Recovered"/>
    <x v="1"/>
    <x v="0"/>
    <n v="20000"/>
    <x v="2"/>
    <x v="4"/>
    <x v="2"/>
  </r>
  <r>
    <x v="942"/>
    <n v="35"/>
    <x v="0"/>
    <x v="12"/>
    <x v="12"/>
    <x v="687"/>
    <x v="225"/>
    <x v="9"/>
    <x v="1"/>
    <n v="66"/>
    <x v="0"/>
    <s v="Recovered"/>
    <x v="0"/>
    <x v="1"/>
    <n v="12000"/>
    <x v="1"/>
    <x v="4"/>
    <x v="0"/>
  </r>
  <r>
    <x v="943"/>
    <n v="50"/>
    <x v="1"/>
    <x v="13"/>
    <x v="13"/>
    <x v="73"/>
    <x v="700"/>
    <x v="7"/>
    <x v="2"/>
    <n v="67"/>
    <x v="0"/>
    <s v="Recovered"/>
    <x v="1"/>
    <x v="0"/>
    <n v="6000"/>
    <x v="0"/>
    <x v="4"/>
    <x v="4"/>
  </r>
  <r>
    <x v="944"/>
    <n v="60"/>
    <x v="0"/>
    <x v="14"/>
    <x v="14"/>
    <x v="147"/>
    <x v="701"/>
    <x v="10"/>
    <x v="2"/>
    <n v="68"/>
    <x v="0"/>
    <s v="Stable"/>
    <x v="0"/>
    <x v="1"/>
    <n v="4000"/>
    <x v="0"/>
    <x v="4"/>
    <x v="2"/>
  </r>
  <r>
    <x v="945"/>
    <n v="48"/>
    <x v="0"/>
    <x v="0"/>
    <x v="0"/>
    <x v="688"/>
    <x v="702"/>
    <x v="0"/>
    <x v="3"/>
    <n v="69"/>
    <x v="1"/>
    <s v="Recovered"/>
    <x v="0"/>
    <x v="0"/>
    <n v="15000"/>
    <x v="0"/>
    <x v="4"/>
    <x v="3"/>
  </r>
  <r>
    <x v="946"/>
    <n v="65"/>
    <x v="1"/>
    <x v="1"/>
    <x v="1"/>
    <x v="491"/>
    <x v="539"/>
    <x v="0"/>
    <x v="0"/>
    <n v="67"/>
    <x v="0"/>
    <s v="Stable"/>
    <x v="1"/>
    <x v="1"/>
    <n v="2000"/>
    <x v="2"/>
    <x v="4"/>
    <x v="0"/>
  </r>
  <r>
    <x v="947"/>
    <n v="30"/>
    <x v="0"/>
    <x v="2"/>
    <x v="2"/>
    <x v="689"/>
    <x v="166"/>
    <x v="2"/>
    <x v="3"/>
    <n v="65"/>
    <x v="0"/>
    <s v="Recovered"/>
    <x v="2"/>
    <x v="0"/>
    <n v="500"/>
    <x v="1"/>
    <x v="4"/>
    <x v="3"/>
  </r>
  <r>
    <x v="948"/>
    <n v="70"/>
    <x v="1"/>
    <x v="3"/>
    <x v="3"/>
    <x v="690"/>
    <x v="703"/>
    <x v="3"/>
    <x v="0"/>
    <n v="72"/>
    <x v="1"/>
    <s v="Stable"/>
    <x v="3"/>
    <x v="1"/>
    <n v="10000"/>
    <x v="2"/>
    <x v="4"/>
    <x v="0"/>
  </r>
  <r>
    <x v="949"/>
    <n v="55"/>
    <x v="0"/>
    <x v="4"/>
    <x v="4"/>
    <x v="691"/>
    <x v="172"/>
    <x v="13"/>
    <x v="1"/>
    <n v="74"/>
    <x v="0"/>
    <s v="Recovered"/>
    <x v="0"/>
    <x v="1"/>
    <n v="25000"/>
    <x v="0"/>
    <x v="4"/>
    <x v="1"/>
  </r>
  <r>
    <x v="950"/>
    <n v="68"/>
    <x v="1"/>
    <x v="5"/>
    <x v="5"/>
    <x v="401"/>
    <x v="704"/>
    <x v="5"/>
    <x v="3"/>
    <n v="68"/>
    <x v="0"/>
    <s v="Stable"/>
    <x v="0"/>
    <x v="0"/>
    <n v="1000"/>
    <x v="2"/>
    <x v="4"/>
    <x v="3"/>
  </r>
  <r>
    <x v="951"/>
    <n v="40"/>
    <x v="1"/>
    <x v="7"/>
    <x v="7"/>
    <x v="35"/>
    <x v="705"/>
    <x v="7"/>
    <x v="3"/>
    <n v="70"/>
    <x v="0"/>
    <s v="Recovered"/>
    <x v="0"/>
    <x v="1"/>
    <n v="3000"/>
    <x v="0"/>
    <x v="4"/>
    <x v="3"/>
  </r>
  <r>
    <x v="952"/>
    <n v="78"/>
    <x v="0"/>
    <x v="8"/>
    <x v="8"/>
    <x v="365"/>
    <x v="706"/>
    <x v="18"/>
    <x v="3"/>
    <n v="72"/>
    <x v="1"/>
    <s v="Stable"/>
    <x v="3"/>
    <x v="1"/>
    <n v="18000"/>
    <x v="2"/>
    <x v="4"/>
    <x v="3"/>
  </r>
  <r>
    <x v="953"/>
    <n v="25"/>
    <x v="1"/>
    <x v="9"/>
    <x v="9"/>
    <x v="692"/>
    <x v="707"/>
    <x v="6"/>
    <x v="3"/>
    <n v="65"/>
    <x v="0"/>
    <s v="Recovered"/>
    <x v="2"/>
    <x v="0"/>
    <n v="100"/>
    <x v="1"/>
    <x v="4"/>
    <x v="1"/>
  </r>
  <r>
    <x v="954"/>
    <n v="52"/>
    <x v="0"/>
    <x v="10"/>
    <x v="10"/>
    <x v="693"/>
    <x v="627"/>
    <x v="15"/>
    <x v="3"/>
    <n v="66"/>
    <x v="0"/>
    <s v="Stable"/>
    <x v="0"/>
    <x v="1"/>
    <n v="800"/>
    <x v="0"/>
    <x v="4"/>
    <x v="3"/>
  </r>
  <r>
    <x v="955"/>
    <n v="58"/>
    <x v="1"/>
    <x v="11"/>
    <x v="11"/>
    <x v="694"/>
    <x v="468"/>
    <x v="0"/>
    <x v="2"/>
    <n v="73"/>
    <x v="0"/>
    <s v="Recovered"/>
    <x v="1"/>
    <x v="0"/>
    <n v="20000"/>
    <x v="0"/>
    <x v="4"/>
    <x v="2"/>
  </r>
  <r>
    <x v="956"/>
    <n v="32"/>
    <x v="0"/>
    <x v="12"/>
    <x v="12"/>
    <x v="516"/>
    <x v="708"/>
    <x v="9"/>
    <x v="0"/>
    <n v="67"/>
    <x v="0"/>
    <s v="Recovered"/>
    <x v="0"/>
    <x v="1"/>
    <n v="12000"/>
    <x v="1"/>
    <x v="4"/>
    <x v="0"/>
  </r>
  <r>
    <x v="957"/>
    <n v="55"/>
    <x v="1"/>
    <x v="13"/>
    <x v="13"/>
    <x v="224"/>
    <x v="591"/>
    <x v="26"/>
    <x v="3"/>
    <n v="68"/>
    <x v="0"/>
    <s v="Recovered"/>
    <x v="1"/>
    <x v="1"/>
    <n v="6000"/>
    <x v="0"/>
    <x v="4"/>
    <x v="3"/>
  </r>
  <r>
    <x v="958"/>
    <n v="65"/>
    <x v="0"/>
    <x v="14"/>
    <x v="14"/>
    <x v="695"/>
    <x v="155"/>
    <x v="10"/>
    <x v="0"/>
    <n v="69"/>
    <x v="0"/>
    <s v="Stable"/>
    <x v="0"/>
    <x v="1"/>
    <n v="4000"/>
    <x v="2"/>
    <x v="4"/>
    <x v="0"/>
  </r>
  <r>
    <x v="959"/>
    <n v="55"/>
    <x v="0"/>
    <x v="0"/>
    <x v="0"/>
    <x v="357"/>
    <x v="435"/>
    <x v="22"/>
    <x v="1"/>
    <n v="70"/>
    <x v="1"/>
    <s v="Recovered"/>
    <x v="1"/>
    <x v="1"/>
    <n v="15000"/>
    <x v="0"/>
    <x v="4"/>
    <x v="0"/>
  </r>
  <r>
    <x v="960"/>
    <n v="62"/>
    <x v="1"/>
    <x v="1"/>
    <x v="1"/>
    <x v="31"/>
    <x v="709"/>
    <x v="0"/>
    <x v="0"/>
    <n v="68"/>
    <x v="0"/>
    <s v="Stable"/>
    <x v="0"/>
    <x v="1"/>
    <n v="2000"/>
    <x v="2"/>
    <x v="4"/>
    <x v="0"/>
  </r>
  <r>
    <x v="961"/>
    <n v="35"/>
    <x v="0"/>
    <x v="2"/>
    <x v="2"/>
    <x v="129"/>
    <x v="397"/>
    <x v="2"/>
    <x v="0"/>
    <n v="66"/>
    <x v="1"/>
    <s v="Recovered"/>
    <x v="2"/>
    <x v="0"/>
    <n v="500"/>
    <x v="1"/>
    <x v="4"/>
    <x v="2"/>
  </r>
  <r>
    <x v="962"/>
    <n v="78"/>
    <x v="1"/>
    <x v="3"/>
    <x v="3"/>
    <x v="696"/>
    <x v="170"/>
    <x v="3"/>
    <x v="1"/>
    <n v="73"/>
    <x v="0"/>
    <s v="Stable"/>
    <x v="3"/>
    <x v="1"/>
    <n v="10000"/>
    <x v="2"/>
    <x v="4"/>
    <x v="1"/>
  </r>
  <r>
    <x v="963"/>
    <n v="53"/>
    <x v="0"/>
    <x v="4"/>
    <x v="4"/>
    <x v="48"/>
    <x v="411"/>
    <x v="13"/>
    <x v="2"/>
    <n v="75"/>
    <x v="1"/>
    <s v="Recovered"/>
    <x v="0"/>
    <x v="0"/>
    <n v="25000"/>
    <x v="0"/>
    <x v="4"/>
    <x v="2"/>
  </r>
  <r>
    <x v="964"/>
    <n v="72"/>
    <x v="1"/>
    <x v="5"/>
    <x v="5"/>
    <x v="646"/>
    <x v="710"/>
    <x v="28"/>
    <x v="1"/>
    <n v="69"/>
    <x v="0"/>
    <s v="Stable"/>
    <x v="0"/>
    <x v="1"/>
    <n v="1000"/>
    <x v="2"/>
    <x v="4"/>
    <x v="1"/>
  </r>
  <r>
    <x v="965"/>
    <n v="60"/>
    <x v="0"/>
    <x v="6"/>
    <x v="6"/>
    <x v="697"/>
    <x v="310"/>
    <x v="6"/>
    <x v="0"/>
    <n v="71"/>
    <x v="1"/>
    <s v="Recovered"/>
    <x v="1"/>
    <x v="1"/>
    <n v="8000"/>
    <x v="0"/>
    <x v="4"/>
    <x v="0"/>
  </r>
  <r>
    <x v="966"/>
    <n v="45"/>
    <x v="1"/>
    <x v="7"/>
    <x v="7"/>
    <x v="177"/>
    <x v="322"/>
    <x v="20"/>
    <x v="2"/>
    <n v="71"/>
    <x v="0"/>
    <s v="Recovered"/>
    <x v="0"/>
    <x v="0"/>
    <n v="3000"/>
    <x v="0"/>
    <x v="4"/>
    <x v="2"/>
  </r>
  <r>
    <x v="967"/>
    <n v="75"/>
    <x v="0"/>
    <x v="8"/>
    <x v="8"/>
    <x v="698"/>
    <x v="196"/>
    <x v="14"/>
    <x v="1"/>
    <n v="73"/>
    <x v="1"/>
    <s v="Stable"/>
    <x v="3"/>
    <x v="1"/>
    <n v="18000"/>
    <x v="2"/>
    <x v="4"/>
    <x v="1"/>
  </r>
  <r>
    <x v="968"/>
    <n v="28"/>
    <x v="1"/>
    <x v="9"/>
    <x v="9"/>
    <x v="699"/>
    <x v="711"/>
    <x v="6"/>
    <x v="0"/>
    <n v="67"/>
    <x v="0"/>
    <s v="Recovered"/>
    <x v="2"/>
    <x v="1"/>
    <n v="100"/>
    <x v="1"/>
    <x v="4"/>
    <x v="0"/>
  </r>
  <r>
    <x v="969"/>
    <n v="52"/>
    <x v="0"/>
    <x v="10"/>
    <x v="10"/>
    <x v="700"/>
    <x v="351"/>
    <x v="15"/>
    <x v="0"/>
    <n v="68"/>
    <x v="0"/>
    <s v="Stable"/>
    <x v="0"/>
    <x v="0"/>
    <n v="800"/>
    <x v="0"/>
    <x v="4"/>
    <x v="0"/>
  </r>
  <r>
    <x v="970"/>
    <n v="67"/>
    <x v="1"/>
    <x v="11"/>
    <x v="11"/>
    <x v="701"/>
    <x v="95"/>
    <x v="8"/>
    <x v="3"/>
    <n v="74"/>
    <x v="0"/>
    <s v="Recovered"/>
    <x v="1"/>
    <x v="1"/>
    <n v="20000"/>
    <x v="2"/>
    <x v="4"/>
    <x v="3"/>
  </r>
  <r>
    <x v="971"/>
    <n v="35"/>
    <x v="0"/>
    <x v="12"/>
    <x v="12"/>
    <x v="350"/>
    <x v="712"/>
    <x v="9"/>
    <x v="2"/>
    <n v="68"/>
    <x v="0"/>
    <s v="Recovered"/>
    <x v="0"/>
    <x v="0"/>
    <n v="12000"/>
    <x v="1"/>
    <x v="4"/>
    <x v="2"/>
  </r>
  <r>
    <x v="972"/>
    <n v="50"/>
    <x v="1"/>
    <x v="13"/>
    <x v="13"/>
    <x v="702"/>
    <x v="713"/>
    <x v="25"/>
    <x v="3"/>
    <n v="69"/>
    <x v="0"/>
    <s v="Recovered"/>
    <x v="1"/>
    <x v="1"/>
    <n v="6000"/>
    <x v="0"/>
    <x v="4"/>
    <x v="3"/>
  </r>
  <r>
    <x v="973"/>
    <n v="60"/>
    <x v="0"/>
    <x v="14"/>
    <x v="14"/>
    <x v="309"/>
    <x v="257"/>
    <x v="10"/>
    <x v="0"/>
    <n v="70"/>
    <x v="0"/>
    <s v="Stable"/>
    <x v="0"/>
    <x v="0"/>
    <n v="4000"/>
    <x v="0"/>
    <x v="4"/>
    <x v="0"/>
  </r>
  <r>
    <x v="974"/>
    <n v="48"/>
    <x v="0"/>
    <x v="0"/>
    <x v="0"/>
    <x v="703"/>
    <x v="714"/>
    <x v="18"/>
    <x v="3"/>
    <n v="71"/>
    <x v="1"/>
    <s v="Recovered"/>
    <x v="0"/>
    <x v="1"/>
    <n v="15000"/>
    <x v="0"/>
    <x v="4"/>
    <x v="3"/>
  </r>
  <r>
    <x v="975"/>
    <n v="65"/>
    <x v="1"/>
    <x v="1"/>
    <x v="1"/>
    <x v="633"/>
    <x v="715"/>
    <x v="0"/>
    <x v="0"/>
    <n v="69"/>
    <x v="0"/>
    <s v="Stable"/>
    <x v="1"/>
    <x v="1"/>
    <n v="2000"/>
    <x v="2"/>
    <x v="4"/>
    <x v="0"/>
  </r>
  <r>
    <x v="976"/>
    <n v="30"/>
    <x v="0"/>
    <x v="2"/>
    <x v="2"/>
    <x v="704"/>
    <x v="716"/>
    <x v="19"/>
    <x v="3"/>
    <n v="67"/>
    <x v="0"/>
    <s v="Recovered"/>
    <x v="2"/>
    <x v="0"/>
    <n v="500"/>
    <x v="1"/>
    <x v="4"/>
    <x v="3"/>
  </r>
  <r>
    <x v="977"/>
    <n v="70"/>
    <x v="1"/>
    <x v="3"/>
    <x v="3"/>
    <x v="474"/>
    <x v="717"/>
    <x v="4"/>
    <x v="1"/>
    <n v="74"/>
    <x v="1"/>
    <s v="Stable"/>
    <x v="3"/>
    <x v="1"/>
    <n v="10000"/>
    <x v="2"/>
    <x v="4"/>
    <x v="1"/>
  </r>
  <r>
    <x v="978"/>
    <n v="55"/>
    <x v="0"/>
    <x v="4"/>
    <x v="4"/>
    <x v="368"/>
    <x v="718"/>
    <x v="16"/>
    <x v="3"/>
    <n v="76"/>
    <x v="0"/>
    <s v="Recovered"/>
    <x v="0"/>
    <x v="0"/>
    <n v="25000"/>
    <x v="0"/>
    <x v="4"/>
    <x v="3"/>
  </r>
  <r>
    <x v="979"/>
    <n v="68"/>
    <x v="1"/>
    <x v="5"/>
    <x v="5"/>
    <x v="705"/>
    <x v="196"/>
    <x v="5"/>
    <x v="1"/>
    <n v="70"/>
    <x v="0"/>
    <s v="Stable"/>
    <x v="0"/>
    <x v="0"/>
    <n v="1000"/>
    <x v="2"/>
    <x v="4"/>
    <x v="1"/>
  </r>
  <r>
    <x v="980"/>
    <n v="45"/>
    <x v="0"/>
    <x v="6"/>
    <x v="6"/>
    <x v="706"/>
    <x v="719"/>
    <x v="21"/>
    <x v="0"/>
    <n v="72"/>
    <x v="0"/>
    <s v="Recovered"/>
    <x v="1"/>
    <x v="1"/>
    <n v="8000"/>
    <x v="0"/>
    <x v="4"/>
    <x v="0"/>
  </r>
  <r>
    <x v="981"/>
    <n v="40"/>
    <x v="1"/>
    <x v="7"/>
    <x v="7"/>
    <x v="707"/>
    <x v="720"/>
    <x v="20"/>
    <x v="2"/>
    <n v="72"/>
    <x v="0"/>
    <s v="Recovered"/>
    <x v="0"/>
    <x v="1"/>
    <n v="3000"/>
    <x v="0"/>
    <x v="4"/>
    <x v="2"/>
  </r>
  <r>
    <x v="982"/>
    <n v="78"/>
    <x v="0"/>
    <x v="8"/>
    <x v="8"/>
    <x v="708"/>
    <x v="721"/>
    <x v="18"/>
    <x v="0"/>
    <n v="74"/>
    <x v="1"/>
    <s v="Stable"/>
    <x v="3"/>
    <x v="0"/>
    <n v="18000"/>
    <x v="2"/>
    <x v="4"/>
    <x v="0"/>
  </r>
  <r>
    <x v="983"/>
    <n v="25"/>
    <x v="1"/>
    <x v="9"/>
    <x v="9"/>
    <x v="501"/>
    <x v="722"/>
    <x v="0"/>
    <x v="3"/>
    <n v="68"/>
    <x v="0"/>
    <s v="Recovered"/>
    <x v="2"/>
    <x v="1"/>
    <n v="100"/>
    <x v="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4CC41-CA23-42EE-A120-C94573736AC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age_group">
  <location ref="G3:H7"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axis="axisRow"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Items count="1">
    <i/>
  </colItems>
  <dataFields count="1">
    <dataField name="Count of Patient_ID" fld="0" subtotal="count" baseField="15"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DB262-07B7-49A6-B9F6-A08CC732D8D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edication ">
  <location ref="N11:O27" firstHeaderRow="1" firstDataRow="1" firstDataCol="1"/>
  <pivotFields count="24">
    <pivotField dataField="1" showAll="0"/>
    <pivotField showAll="0"/>
    <pivotField showAll="0">
      <items count="3">
        <item x="0"/>
        <item x="1"/>
        <item t="default"/>
      </items>
    </pivotField>
    <pivotField showAll="0"/>
    <pivotField axis="axisRow" showAll="0">
      <items count="16">
        <item x="0"/>
        <item x="10"/>
        <item x="6"/>
        <item x="8"/>
        <item x="7"/>
        <item x="3"/>
        <item x="12"/>
        <item x="9"/>
        <item x="1"/>
        <item x="13"/>
        <item x="5"/>
        <item x="14"/>
        <item x="11"/>
        <item x="4"/>
        <item x="2"/>
        <item t="default"/>
      </items>
    </pivotField>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Patient_ID" fld="0" subtotal="count" baseField="4" baseItem="9"/>
  </dataField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86536-76F2-40F1-9E06-E43D238DCD8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T3:V9" firstHeaderRow="0"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items count="5">
        <item x="3"/>
        <item x="1"/>
        <item x="0"/>
        <item x="2"/>
        <item t="default"/>
      </items>
    </pivotField>
    <pivotField showAll="0"/>
    <pivotField showAll="0">
      <items count="3">
        <item x="0"/>
        <item x="1"/>
        <item t="default"/>
      </items>
    </pivotField>
    <pivotField showAll="0"/>
    <pivotField showAll="0"/>
    <pivotField showAll="0"/>
    <pivotField dataField="1" showAll="0"/>
    <pivotField showAll="0">
      <items count="4">
        <item x="1"/>
        <item x="0"/>
        <item x="2"/>
        <item t="default"/>
      </items>
    </pivotField>
    <pivotField showAll="0"/>
    <pivotField showAll="0">
      <items count="6">
        <item x="3"/>
        <item x="1"/>
        <item x="0"/>
        <item x="2"/>
        <item x="4"/>
        <item t="default"/>
      </items>
    </pivotField>
    <pivotField showAll="0" defaultSubtotal="0"/>
    <pivotField showAll="0" defaultSubtotal="0"/>
    <pivotField showAll="0" defaultSubtotal="0">
      <items count="6">
        <item x="0"/>
        <item x="1"/>
        <item x="2"/>
        <item x="3"/>
        <item x="4"/>
        <item x="5"/>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axis="axisRow" showAll="0">
      <items count="8">
        <item sd="0" x="0"/>
        <item sd="0" x="1"/>
        <item sd="0" x="2"/>
        <item sd="0" x="3"/>
        <item sd="0" x="4"/>
        <item sd="0" x="5"/>
        <item sd="0" x="6"/>
        <item t="default" sd="0"/>
      </items>
    </pivotField>
  </pivotFields>
  <rowFields count="1">
    <field x="23"/>
  </rowFields>
  <rowItems count="6">
    <i>
      <x v="1"/>
    </i>
    <i>
      <x v="2"/>
    </i>
    <i>
      <x v="3"/>
    </i>
    <i>
      <x v="4"/>
    </i>
    <i>
      <x v="5"/>
    </i>
    <i t="grand">
      <x/>
    </i>
  </rowItems>
  <colFields count="1">
    <field x="-2"/>
  </colFields>
  <colItems count="2">
    <i>
      <x/>
    </i>
    <i i="1">
      <x v="1"/>
    </i>
  </colItems>
  <dataFields count="2">
    <dataField name="Sum of Total_Cost" fld="14" baseField="0" baseItem="0" numFmtId="165"/>
    <dataField name="Count of Patient_ID" fld="0" subtotal="count" baseField="0" baseItem="0"/>
  </dataFields>
  <formats count="1">
    <format dxfId="0">
      <pivotArea outline="0" collapsedLevelsAreSubtotals="1" fieldPosition="0">
        <references count="1">
          <reference field="4294967294" count="1" selected="0">
            <x v="0"/>
          </reference>
        </references>
      </pivotArea>
    </format>
  </formats>
  <chartFormats count="2">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182DD-36B3-4299-992E-CB146E719E3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tay_level">
  <location ref="N3:O9"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axis="axisRow" showAll="0">
      <items count="10">
        <item m="1" x="8"/>
        <item m="1" x="7"/>
        <item m="1" x="6"/>
        <item m="1" x="5"/>
        <item x="0"/>
        <item x="1"/>
        <item x="2"/>
        <item x="3"/>
        <item x="4"/>
        <item t="default"/>
      </items>
    </pivotField>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6">
    <i>
      <x v="4"/>
    </i>
    <i>
      <x v="5"/>
    </i>
    <i>
      <x v="6"/>
    </i>
    <i>
      <x v="7"/>
    </i>
    <i>
      <x v="8"/>
    </i>
    <i t="grand">
      <x/>
    </i>
  </rowItems>
  <colItems count="1">
    <i/>
  </colItems>
  <dataFields count="1">
    <dataField name="Count of Patient_ID" fld="0" subtotal="count" baseField="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51101-4D94-4C4A-9759-5E07CC3CEDF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ondition">
  <location ref="E11:F27" firstHeaderRow="1" firstDataRow="1" firstDataCol="1"/>
  <pivotFields count="24">
    <pivotField dataField="1"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Patient_ID" fld="0" subtotal="count" baseField="3"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FA46D3-3298-43A6-B3F3-EA69F98D58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2:U17"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Count of Patient_ID" fld="0" subtotal="count" showDataAs="percentOfTotal" baseField="12" baseItem="0" numFmtId="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CD726-022C-49A7-8604-1B9B093DB84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K3:L33"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axis="axisRow" showAll="0">
      <items count="30">
        <item x="21"/>
        <item x="28"/>
        <item x="16"/>
        <item x="9"/>
        <item x="10"/>
        <item x="8"/>
        <item x="1"/>
        <item x="7"/>
        <item x="26"/>
        <item x="19"/>
        <item x="15"/>
        <item x="27"/>
        <item x="6"/>
        <item x="0"/>
        <item x="23"/>
        <item x="2"/>
        <item x="3"/>
        <item x="13"/>
        <item x="4"/>
        <item x="11"/>
        <item x="24"/>
        <item x="20"/>
        <item x="18"/>
        <item x="25"/>
        <item x="5"/>
        <item x="22"/>
        <item x="12"/>
        <item x="17"/>
        <item x="14"/>
        <item t="default"/>
      </items>
    </pivotField>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_ID" fld="0" subtotal="count" baseField="7"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82F546-3453-4BEF-9576-DC3124A0727F}"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rowHeaderCaption="Gender">
  <location ref="A3:B6" firstHeaderRow="1" firstDataRow="1" firstDataCol="1"/>
  <pivotFields count="24">
    <pivotField dataField="1" showAll="0">
      <items count="9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t="default"/>
      </items>
    </pivotField>
    <pivotField showAll="0"/>
    <pivotField axis="axisRow"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3">
    <i>
      <x/>
    </i>
    <i>
      <x v="1"/>
    </i>
    <i t="grand">
      <x/>
    </i>
  </rowItems>
  <colItems count="1">
    <i/>
  </colItems>
  <dataFields count="1">
    <dataField name="Count of Patient_ID" fld="0" subtotal="count" baseField="2" baseItem="0"/>
  </dataFields>
  <chartFormats count="3">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D70168-0FE6-40CA-A1C7-A7372BE8CF8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17:R22"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3">
    <field x="20"/>
    <field x="19"/>
    <field x="18"/>
  </rowFields>
  <rowItems count="5">
    <i>
      <x v="1"/>
    </i>
    <i>
      <x v="2"/>
    </i>
    <i>
      <x v="3"/>
    </i>
    <i>
      <x v="4"/>
    </i>
    <i t="grand">
      <x/>
    </i>
  </rowItems>
  <colItems count="1">
    <i/>
  </colItems>
  <dataFields count="1">
    <dataField name="Count of Patient_ID" fld="0" subtotal="count" baseField="19" baseItem="1"/>
  </dataFields>
  <pivotTableStyleInfo name="PivotStyleLight16" showRowHeaders="1" showColHeaders="1" showRowStripes="0" showColStripes="0" showLastColumn="1"/>
  <filters count="1">
    <filter fld="5" type="dateBetween" evalOrder="-1" id="114"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507F55-2FCE-438F-B17B-B29D52EA26E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insurance">
  <location ref="A11:B14"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showAll="0">
      <items count="3">
        <item x="0"/>
        <item x="1"/>
        <item t="default"/>
      </items>
    </pivotField>
    <pivotField showAll="0"/>
    <pivotField showAll="0"/>
    <pivotField axis="axisRow" showAll="0">
      <items count="3">
        <item x="1"/>
        <item x="0"/>
        <item t="default"/>
      </items>
    </pivotField>
    <pivotField showAll="0"/>
    <pivotField showAll="0"/>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3">
    <i>
      <x/>
    </i>
    <i>
      <x v="1"/>
    </i>
    <i t="grand">
      <x/>
    </i>
  </rowItems>
  <colItems count="1">
    <i/>
  </colItems>
  <dataFields count="1">
    <dataField name="Count of Patient_ID" fld="0" subtotal="count" baseField="13" baseItem="0"/>
  </dataField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FF59D1-4A5D-430F-B693-0ACF292AB0A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Admission">
  <location ref="A16:B19" firstHeaderRow="1" firstDataRow="1" firstDataCol="1"/>
  <pivotFields count="24">
    <pivotField dataField="1" showAll="0"/>
    <pivotField showAll="0"/>
    <pivotField showAll="0">
      <items count="3">
        <item x="0"/>
        <item x="1"/>
        <item t="default"/>
      </items>
    </pivotField>
    <pivotField showAll="0"/>
    <pivotField showAll="0"/>
    <pivotField numFmtId="14" showAll="0">
      <items count="710">
        <item x="124"/>
        <item x="566"/>
        <item x="78"/>
        <item x="248"/>
        <item x="314"/>
        <item x="387"/>
        <item x="612"/>
        <item x="21"/>
        <item x="64"/>
        <item x="472"/>
        <item x="356"/>
        <item x="648"/>
        <item x="462"/>
        <item x="120"/>
        <item x="293"/>
        <item x="277"/>
        <item x="422"/>
        <item x="173"/>
        <item x="461"/>
        <item x="373"/>
        <item x="495"/>
        <item x="52"/>
        <item x="661"/>
        <item x="636"/>
        <item x="75"/>
        <item x="90"/>
        <item x="703"/>
        <item x="292"/>
        <item x="255"/>
        <item x="570"/>
        <item x="244"/>
        <item x="445"/>
        <item x="223"/>
        <item x="508"/>
        <item x="595"/>
        <item x="614"/>
        <item x="678"/>
        <item x="441"/>
        <item x="268"/>
        <item x="449"/>
        <item x="367"/>
        <item x="530"/>
        <item x="446"/>
        <item x="490"/>
        <item x="199"/>
        <item x="27"/>
        <item x="203"/>
        <item x="581"/>
        <item x="521"/>
        <item x="593"/>
        <item x="704"/>
        <item x="386"/>
        <item x="408"/>
        <item x="38"/>
        <item x="693"/>
        <item x="384"/>
        <item x="18"/>
        <item x="306"/>
        <item x="623"/>
        <item x="702"/>
        <item x="666"/>
        <item x="401"/>
        <item x="281"/>
        <item x="436"/>
        <item x="4"/>
        <item x="178"/>
        <item x="489"/>
        <item x="689"/>
        <item x="240"/>
        <item x="688"/>
        <item x="238"/>
        <item x="478"/>
        <item x="467"/>
        <item x="389"/>
        <item x="77"/>
        <item x="628"/>
        <item x="319"/>
        <item x="104"/>
        <item x="212"/>
        <item x="224"/>
        <item x="605"/>
        <item x="565"/>
        <item x="680"/>
        <item x="165"/>
        <item x="282"/>
        <item x="590"/>
        <item x="557"/>
        <item x="227"/>
        <item x="231"/>
        <item x="574"/>
        <item x="194"/>
        <item x="448"/>
        <item x="170"/>
        <item x="518"/>
        <item x="16"/>
        <item x="587"/>
        <item x="208"/>
        <item x="440"/>
        <item x="594"/>
        <item x="296"/>
        <item x="559"/>
        <item x="385"/>
        <item x="513"/>
        <item x="393"/>
        <item x="627"/>
        <item x="7"/>
        <item x="567"/>
        <item x="606"/>
        <item x="151"/>
        <item x="630"/>
        <item x="188"/>
        <item x="35"/>
        <item x="229"/>
        <item x="631"/>
        <item x="505"/>
        <item x="160"/>
        <item x="258"/>
        <item x="483"/>
        <item x="368"/>
        <item x="651"/>
        <item x="321"/>
        <item x="568"/>
        <item x="465"/>
        <item x="233"/>
        <item x="92"/>
        <item x="343"/>
        <item x="164"/>
        <item x="602"/>
        <item x="340"/>
        <item x="313"/>
        <item x="575"/>
        <item x="562"/>
        <item x="37"/>
        <item x="360"/>
        <item x="701"/>
        <item x="93"/>
        <item x="91"/>
        <item x="655"/>
        <item x="140"/>
        <item x="571"/>
        <item x="236"/>
        <item x="365"/>
        <item x="32"/>
        <item x="324"/>
        <item x="256"/>
        <item x="603"/>
        <item x="342"/>
        <item x="15"/>
        <item x="411"/>
        <item x="692"/>
        <item x="286"/>
        <item x="94"/>
        <item x="359"/>
        <item x="266"/>
        <item x="122"/>
        <item x="537"/>
        <item x="344"/>
        <item x="578"/>
        <item x="134"/>
        <item x="607"/>
        <item x="89"/>
        <item x="407"/>
        <item x="534"/>
        <item x="652"/>
        <item x="80"/>
        <item x="253"/>
        <item x="95"/>
        <item x="501"/>
        <item x="653"/>
        <item x="484"/>
        <item x="609"/>
        <item x="128"/>
        <item x="252"/>
        <item x="294"/>
        <item x="456"/>
        <item x="346"/>
        <item x="246"/>
        <item x="414"/>
        <item x="327"/>
        <item x="563"/>
        <item x="558"/>
        <item x="569"/>
        <item x="413"/>
        <item x="685"/>
        <item x="691"/>
        <item x="148"/>
        <item x="504"/>
        <item x="658"/>
        <item x="417"/>
        <item x="550"/>
        <item x="338"/>
        <item x="476"/>
        <item x="660"/>
        <item x="291"/>
        <item x="146"/>
        <item x="667"/>
        <item x="358"/>
        <item x="591"/>
        <item x="297"/>
        <item x="499"/>
        <item x="684"/>
        <item x="523"/>
        <item x="549"/>
        <item x="270"/>
        <item x="640"/>
        <item x="397"/>
        <item x="298"/>
        <item x="683"/>
        <item x="646"/>
        <item x="698"/>
        <item x="675"/>
        <item x="705"/>
        <item x="179"/>
        <item x="409"/>
        <item x="162"/>
        <item x="174"/>
        <item x="682"/>
        <item x="643"/>
        <item x="1"/>
        <item x="241"/>
        <item x="195"/>
        <item x="211"/>
        <item x="125"/>
        <item x="364"/>
        <item x="528"/>
        <item x="437"/>
        <item x="625"/>
        <item x="388"/>
        <item x="366"/>
        <item x="106"/>
        <item x="668"/>
        <item x="279"/>
        <item x="336"/>
        <item x="326"/>
        <item x="259"/>
        <item x="222"/>
        <item x="168"/>
        <item x="536"/>
        <item x="197"/>
        <item x="337"/>
        <item x="276"/>
        <item x="67"/>
        <item x="540"/>
        <item x="88"/>
        <item x="677"/>
        <item x="155"/>
        <item x="9"/>
        <item x="431"/>
        <item x="380"/>
        <item x="29"/>
        <item x="403"/>
        <item x="145"/>
        <item x="273"/>
        <item x="257"/>
        <item x="144"/>
        <item x="245"/>
        <item x="111"/>
        <item x="8"/>
        <item x="206"/>
        <item x="452"/>
        <item x="644"/>
        <item x="247"/>
        <item x="190"/>
        <item x="61"/>
        <item x="502"/>
        <item x="167"/>
        <item x="542"/>
        <item x="474"/>
        <item x="632"/>
        <item x="189"/>
        <item x="379"/>
        <item x="228"/>
        <item x="597"/>
        <item x="28"/>
        <item x="670"/>
        <item x="119"/>
        <item x="213"/>
        <item x="81"/>
        <item x="141"/>
        <item x="394"/>
        <item x="302"/>
        <item x="84"/>
        <item x="221"/>
        <item x="46"/>
        <item x="662"/>
        <item x="242"/>
        <item x="20"/>
        <item x="454"/>
        <item x="105"/>
        <item x="136"/>
        <item x="560"/>
        <item x="649"/>
        <item x="596"/>
        <item x="230"/>
        <item x="555"/>
        <item x="299"/>
        <item x="26"/>
        <item x="289"/>
        <item x="426"/>
        <item x="51"/>
        <item x="331"/>
        <item x="642"/>
        <item x="433"/>
        <item x="442"/>
        <item x="538"/>
        <item x="130"/>
        <item x="580"/>
        <item x="696"/>
        <item x="626"/>
        <item x="153"/>
        <item x="187"/>
        <item x="280"/>
        <item x="481"/>
        <item x="420"/>
        <item x="455"/>
        <item x="334"/>
        <item x="127"/>
        <item x="72"/>
        <item x="663"/>
        <item x="24"/>
        <item x="553"/>
        <item x="305"/>
        <item x="185"/>
        <item x="161"/>
        <item x="63"/>
        <item x="98"/>
        <item x="398"/>
        <item x="330"/>
        <item x="83"/>
        <item x="468"/>
        <item x="215"/>
        <item x="288"/>
        <item x="511"/>
        <item x="572"/>
        <item x="172"/>
        <item x="69"/>
        <item x="610"/>
        <item x="14"/>
        <item x="443"/>
        <item x="216"/>
        <item x="341"/>
        <item x="556"/>
        <item x="40"/>
        <item x="637"/>
        <item x="561"/>
        <item x="650"/>
        <item x="687"/>
        <item x="97"/>
        <item x="512"/>
        <item x="357"/>
        <item x="312"/>
        <item x="56"/>
        <item x="362"/>
        <item x="618"/>
        <item x="497"/>
        <item x="369"/>
        <item x="6"/>
        <item x="412"/>
        <item x="123"/>
        <item x="285"/>
        <item x="432"/>
        <item x="541"/>
        <item x="444"/>
        <item x="487"/>
        <item x="676"/>
        <item x="430"/>
        <item x="303"/>
        <item x="225"/>
        <item x="3"/>
        <item x="601"/>
        <item x="249"/>
        <item x="531"/>
        <item x="287"/>
        <item x="424"/>
        <item x="349"/>
        <item x="204"/>
        <item x="400"/>
        <item x="475"/>
        <item x="464"/>
        <item x="60"/>
        <item x="318"/>
        <item x="551"/>
        <item x="641"/>
        <item x="19"/>
        <item x="639"/>
        <item x="62"/>
        <item x="0"/>
        <item x="520"/>
        <item x="697"/>
        <item x="70"/>
        <item x="600"/>
        <item x="55"/>
        <item x="219"/>
        <item x="214"/>
        <item x="175"/>
        <item x="353"/>
        <item x="372"/>
        <item x="706"/>
        <item x="325"/>
        <item x="34"/>
        <item x="404"/>
        <item x="352"/>
        <item x="118"/>
        <item x="182"/>
        <item x="251"/>
        <item x="126"/>
        <item x="700"/>
        <item x="466"/>
        <item x="608"/>
        <item x="377"/>
        <item x="150"/>
        <item x="39"/>
        <item x="181"/>
        <item x="679"/>
        <item x="309"/>
        <item x="10"/>
        <item x="382"/>
        <item x="102"/>
        <item x="354"/>
        <item x="690"/>
        <item x="471"/>
        <item x="458"/>
        <item x="68"/>
        <item x="65"/>
        <item x="22"/>
        <item x="275"/>
        <item x="517"/>
        <item x="402"/>
        <item x="49"/>
        <item x="107"/>
        <item x="320"/>
        <item x="598"/>
        <item x="176"/>
        <item x="374"/>
        <item x="54"/>
        <item x="699"/>
        <item x="526"/>
        <item x="516"/>
        <item x="261"/>
        <item x="539"/>
        <item x="169"/>
        <item x="488"/>
        <item x="103"/>
        <item x="262"/>
        <item x="507"/>
        <item x="554"/>
        <item x="664"/>
        <item x="491"/>
        <item x="473"/>
        <item x="198"/>
        <item x="114"/>
        <item x="143"/>
        <item x="315"/>
        <item x="535"/>
        <item x="503"/>
        <item x="545"/>
        <item x="363"/>
        <item x="171"/>
        <item x="429"/>
        <item x="399"/>
        <item x="428"/>
        <item x="166"/>
        <item x="45"/>
        <item x="23"/>
        <item x="470"/>
        <item x="201"/>
        <item x="435"/>
        <item x="31"/>
        <item x="71"/>
        <item x="348"/>
        <item x="434"/>
        <item x="58"/>
        <item x="329"/>
        <item x="492"/>
        <item x="423"/>
        <item x="220"/>
        <item x="339"/>
        <item x="113"/>
        <item x="383"/>
        <item x="36"/>
        <item x="509"/>
        <item x="477"/>
        <item x="109"/>
        <item x="100"/>
        <item x="200"/>
        <item x="131"/>
        <item x="519"/>
        <item x="99"/>
        <item x="135"/>
        <item x="459"/>
        <item x="708"/>
        <item x="193"/>
        <item x="232"/>
        <item x="271"/>
        <item x="158"/>
        <item x="209"/>
        <item x="361"/>
        <item x="451"/>
        <item x="624"/>
        <item x="290"/>
        <item x="506"/>
        <item x="183"/>
        <item x="524"/>
        <item x="180"/>
        <item x="57"/>
        <item x="304"/>
        <item x="695"/>
        <item x="406"/>
        <item x="621"/>
        <item x="438"/>
        <item x="633"/>
        <item x="498"/>
        <item x="192"/>
        <item x="416"/>
        <item x="207"/>
        <item x="391"/>
        <item x="486"/>
        <item x="307"/>
        <item x="494"/>
        <item x="686"/>
        <item x="237"/>
        <item x="392"/>
        <item x="300"/>
        <item x="463"/>
        <item x="582"/>
        <item x="515"/>
        <item x="96"/>
        <item x="351"/>
        <item x="671"/>
        <item x="634"/>
        <item x="159"/>
        <item x="672"/>
        <item x="86"/>
        <item x="335"/>
        <item x="311"/>
        <item x="577"/>
        <item x="129"/>
        <item x="585"/>
        <item x="295"/>
        <item x="157"/>
        <item x="457"/>
        <item x="2"/>
        <item x="191"/>
        <item x="410"/>
        <item x="108"/>
        <item x="586"/>
        <item x="629"/>
        <item x="138"/>
        <item x="301"/>
        <item x="116"/>
        <item x="154"/>
        <item x="53"/>
        <item x="482"/>
        <item x="317"/>
        <item x="510"/>
        <item x="453"/>
        <item x="405"/>
        <item x="202"/>
        <item x="264"/>
        <item x="371"/>
        <item x="33"/>
        <item x="142"/>
        <item x="59"/>
        <item x="378"/>
        <item x="218"/>
        <item x="254"/>
        <item x="584"/>
        <item x="117"/>
        <item x="544"/>
        <item x="707"/>
        <item x="564"/>
        <item x="469"/>
        <item x="25"/>
        <item x="496"/>
        <item x="381"/>
        <item x="149"/>
        <item x="533"/>
        <item x="48"/>
        <item x="532"/>
        <item x="681"/>
        <item x="576"/>
        <item x="283"/>
        <item x="450"/>
        <item x="243"/>
        <item x="635"/>
        <item x="328"/>
        <item x="333"/>
        <item x="604"/>
        <item x="418"/>
        <item x="147"/>
        <item x="425"/>
        <item x="50"/>
        <item x="226"/>
        <item x="419"/>
        <item x="177"/>
        <item x="76"/>
        <item x="694"/>
        <item x="210"/>
        <item x="79"/>
        <item x="543"/>
        <item x="439"/>
        <item x="447"/>
        <item x="316"/>
        <item x="355"/>
        <item x="11"/>
        <item x="376"/>
        <item x="121"/>
        <item x="654"/>
        <item x="589"/>
        <item x="284"/>
        <item x="30"/>
        <item x="592"/>
        <item x="617"/>
        <item x="85"/>
        <item x="82"/>
        <item x="622"/>
        <item x="139"/>
        <item x="323"/>
        <item x="310"/>
        <item x="278"/>
        <item x="272"/>
        <item x="669"/>
        <item x="647"/>
        <item x="659"/>
        <item x="657"/>
        <item x="673"/>
        <item x="5"/>
        <item x="184"/>
        <item x="579"/>
        <item x="322"/>
        <item x="42"/>
        <item x="350"/>
        <item x="235"/>
        <item x="552"/>
        <item x="427"/>
        <item x="620"/>
        <item x="347"/>
        <item x="44"/>
        <item x="645"/>
        <item x="375"/>
        <item x="239"/>
        <item x="110"/>
        <item x="548"/>
        <item x="43"/>
        <item x="101"/>
        <item x="638"/>
        <item x="163"/>
        <item x="186"/>
        <item x="500"/>
        <item x="308"/>
        <item x="611"/>
        <item x="546"/>
        <item x="547"/>
        <item x="395"/>
        <item x="234"/>
        <item x="205"/>
        <item x="573"/>
        <item x="529"/>
        <item x="74"/>
        <item x="460"/>
        <item x="137"/>
        <item x="665"/>
        <item x="263"/>
        <item x="480"/>
        <item x="613"/>
        <item x="13"/>
        <item x="421"/>
        <item x="265"/>
        <item x="514"/>
        <item x="12"/>
        <item x="583"/>
        <item x="656"/>
        <item x="152"/>
        <item x="156"/>
        <item x="415"/>
        <item x="269"/>
        <item x="396"/>
        <item x="485"/>
        <item x="17"/>
        <item x="47"/>
        <item x="522"/>
        <item x="525"/>
        <item x="345"/>
        <item x="527"/>
        <item x="267"/>
        <item x="112"/>
        <item x="217"/>
        <item x="370"/>
        <item x="493"/>
        <item x="674"/>
        <item x="390"/>
        <item x="133"/>
        <item x="588"/>
        <item x="599"/>
        <item x="274"/>
        <item x="73"/>
        <item x="615"/>
        <item x="132"/>
        <item x="66"/>
        <item x="196"/>
        <item x="87"/>
        <item x="619"/>
        <item x="115"/>
        <item x="616"/>
        <item x="260"/>
        <item x="250"/>
        <item x="41"/>
        <item x="332"/>
        <item x="479"/>
        <item t="default"/>
      </items>
    </pivotField>
    <pivotField numFmtId="14" showAll="0">
      <items count="724">
        <item x="122"/>
        <item x="77"/>
        <item x="21"/>
        <item x="64"/>
        <item x="259"/>
        <item x="117"/>
        <item x="315"/>
        <item x="377"/>
        <item x="171"/>
        <item x="53"/>
        <item x="74"/>
        <item x="295"/>
        <item x="280"/>
        <item x="565"/>
        <item x="427"/>
        <item x="460"/>
        <item x="90"/>
        <item x="697"/>
        <item x="698"/>
        <item x="414"/>
        <item x="367"/>
        <item x="248"/>
        <item x="451"/>
        <item x="489"/>
        <item x="222"/>
        <item x="294"/>
        <item x="487"/>
        <item x="328"/>
        <item x="403"/>
        <item x="679"/>
        <item x="27"/>
        <item x="540"/>
        <item x="660"/>
        <item x="626"/>
        <item x="436"/>
        <item x="198"/>
        <item x="499"/>
        <item x="685"/>
        <item x="604"/>
        <item x="432"/>
        <item x="600"/>
        <item x="202"/>
        <item x="38"/>
        <item x="18"/>
        <item x="714"/>
        <item x="441"/>
        <item x="598"/>
        <item x="437"/>
        <item x="480"/>
        <item x="525"/>
        <item x="684"/>
        <item x="4"/>
        <item x="400"/>
        <item x="176"/>
        <item x="375"/>
        <item x="583"/>
        <item x="206"/>
        <item x="283"/>
        <item x="238"/>
        <item x="393"/>
        <item x="595"/>
        <item x="236"/>
        <item x="76"/>
        <item x="426"/>
        <item x="104"/>
        <item x="716"/>
        <item x="212"/>
        <item x="477"/>
        <item x="223"/>
        <item x="379"/>
        <item x="627"/>
        <item x="319"/>
        <item x="669"/>
        <item x="161"/>
        <item x="469"/>
        <item x="455"/>
        <item x="16"/>
        <item x="713"/>
        <item x="227"/>
        <item x="704"/>
        <item x="193"/>
        <item x="166"/>
        <item x="229"/>
        <item x="634"/>
        <item x="208"/>
        <item x="702"/>
        <item x="564"/>
        <item x="632"/>
        <item x="284"/>
        <item x="653"/>
        <item x="7"/>
        <item x="648"/>
        <item x="439"/>
        <item x="501"/>
        <item x="299"/>
        <item x="591"/>
        <item x="559"/>
        <item x="35"/>
        <item x="148"/>
        <item x="688"/>
        <item x="513"/>
        <item x="430"/>
        <item x="392"/>
        <item x="187"/>
        <item x="376"/>
        <item x="576"/>
        <item x="431"/>
        <item x="228"/>
        <item x="587"/>
        <item x="156"/>
        <item x="597"/>
        <item x="509"/>
        <item x="254"/>
        <item x="92"/>
        <item x="566"/>
        <item x="231"/>
        <item x="631"/>
        <item x="462"/>
        <item x="160"/>
        <item x="37"/>
        <item x="610"/>
        <item x="496"/>
        <item x="635"/>
        <item x="341"/>
        <item x="93"/>
        <item x="91"/>
        <item x="314"/>
        <item x="636"/>
        <item x="336"/>
        <item x="380"/>
        <item x="705"/>
        <item x="567"/>
        <item x="32"/>
        <item x="138"/>
        <item x="649"/>
        <item x="654"/>
        <item x="234"/>
        <item x="15"/>
        <item x="678"/>
        <item x="579"/>
        <item x="718"/>
        <item x="544"/>
        <item x="394"/>
        <item x="250"/>
        <item x="94"/>
        <item x="362"/>
        <item x="340"/>
        <item x="120"/>
        <item x="288"/>
        <item x="265"/>
        <item x="131"/>
        <item x="405"/>
        <item x="89"/>
        <item x="95"/>
        <item x="657"/>
        <item x="80"/>
        <item x="253"/>
        <item x="342"/>
        <item x="440"/>
        <item x="608"/>
        <item x="390"/>
        <item x="247"/>
        <item x="125"/>
        <item x="533"/>
        <item x="706"/>
        <item x="399"/>
        <item x="707"/>
        <item x="245"/>
        <item x="242"/>
        <item x="296"/>
        <item x="344"/>
        <item x="528"/>
        <item x="412"/>
        <item x="325"/>
        <item x="492"/>
        <item x="145"/>
        <item x="407"/>
        <item x="446"/>
        <item x="612"/>
        <item x="655"/>
        <item x="722"/>
        <item x="268"/>
        <item x="406"/>
        <item x="334"/>
        <item x="143"/>
        <item x="410"/>
        <item x="560"/>
        <item x="568"/>
        <item x="687"/>
        <item x="293"/>
        <item x="695"/>
        <item x="355"/>
        <item x="269"/>
        <item x="300"/>
        <item x="548"/>
        <item x="465"/>
        <item x="529"/>
        <item x="1"/>
        <item x="301"/>
        <item x="659"/>
        <item x="158"/>
        <item x="388"/>
        <item x="172"/>
        <item x="177"/>
        <item x="618"/>
        <item x="547"/>
        <item x="516"/>
        <item x="592"/>
        <item x="194"/>
        <item x="211"/>
        <item x="123"/>
        <item x="401"/>
        <item x="106"/>
        <item x="645"/>
        <item x="694"/>
        <item x="361"/>
        <item x="66"/>
        <item x="9"/>
        <item x="164"/>
        <item x="88"/>
        <item x="710"/>
        <item x="363"/>
        <item x="29"/>
        <item x="324"/>
        <item x="255"/>
        <item x="151"/>
        <item x="196"/>
        <item x="646"/>
        <item x="279"/>
        <item x="133"/>
        <item x="522"/>
        <item x="142"/>
        <item x="8"/>
        <item x="333"/>
        <item x="628"/>
        <item x="273"/>
        <item x="251"/>
        <item x="373"/>
        <item x="241"/>
        <item x="422"/>
        <item x="205"/>
        <item x="532"/>
        <item x="61"/>
        <item x="396"/>
        <item x="672"/>
        <item x="190"/>
        <item x="647"/>
        <item x="434"/>
        <item x="243"/>
        <item x="673"/>
        <item x="163"/>
        <item x="28"/>
        <item x="357"/>
        <item x="188"/>
        <item x="570"/>
        <item x="683"/>
        <item x="428"/>
        <item x="458"/>
        <item x="629"/>
        <item x="611"/>
        <item x="81"/>
        <item x="493"/>
        <item x="215"/>
        <item x="116"/>
        <item x="463"/>
        <item x="372"/>
        <item x="139"/>
        <item x="47"/>
        <item x="541"/>
        <item x="20"/>
        <item x="623"/>
        <item x="621"/>
        <item x="596"/>
        <item x="134"/>
        <item x="221"/>
        <item x="637"/>
        <item x="105"/>
        <item x="384"/>
        <item x="239"/>
        <item x="601"/>
        <item x="717"/>
        <item x="494"/>
        <item x="26"/>
        <item x="52"/>
        <item x="484"/>
        <item x="625"/>
        <item x="302"/>
        <item x="549"/>
        <item x="291"/>
        <item x="571"/>
        <item x="128"/>
        <item x="543"/>
        <item x="661"/>
        <item x="343"/>
        <item x="562"/>
        <item x="416"/>
        <item x="329"/>
        <item x="378"/>
        <item x="24"/>
        <item x="149"/>
        <item x="71"/>
        <item x="433"/>
        <item x="124"/>
        <item x="424"/>
        <item x="443"/>
        <item x="282"/>
        <item x="569"/>
        <item x="607"/>
        <item x="63"/>
        <item x="98"/>
        <item x="84"/>
        <item x="272"/>
        <item x="183"/>
        <item x="157"/>
        <item x="447"/>
        <item x="472"/>
        <item x="169"/>
        <item x="306"/>
        <item x="658"/>
        <item x="224"/>
        <item x="14"/>
        <item x="45"/>
        <item x="68"/>
        <item x="40"/>
        <item x="170"/>
        <item x="413"/>
        <item x="252"/>
        <item x="389"/>
        <item x="554"/>
        <item x="216"/>
        <item x="456"/>
        <item x="665"/>
        <item x="505"/>
        <item x="297"/>
        <item x="119"/>
        <item x="97"/>
        <item x="57"/>
        <item x="338"/>
        <item x="261"/>
        <item x="572"/>
        <item x="575"/>
        <item x="6"/>
        <item x="589"/>
        <item x="313"/>
        <item x="557"/>
        <item x="121"/>
        <item x="506"/>
        <item x="358"/>
        <item x="3"/>
        <item x="642"/>
        <item x="364"/>
        <item x="287"/>
        <item x="534"/>
        <item x="304"/>
        <item x="225"/>
        <item x="60"/>
        <item x="423"/>
        <item x="203"/>
        <item x="435"/>
        <item x="531"/>
        <item x="290"/>
        <item x="581"/>
        <item x="668"/>
        <item x="475"/>
        <item x="420"/>
        <item x="524"/>
        <item x="19"/>
        <item x="347"/>
        <item x="0"/>
        <item x="69"/>
        <item x="62"/>
        <item x="526"/>
        <item x="318"/>
        <item x="464"/>
        <item x="56"/>
        <item x="553"/>
        <item x="339"/>
        <item x="214"/>
        <item x="173"/>
        <item x="219"/>
        <item x="270"/>
        <item x="34"/>
        <item x="276"/>
        <item x="449"/>
        <item x="699"/>
        <item x="115"/>
        <item x="551"/>
        <item x="39"/>
        <item x="180"/>
        <item x="370"/>
        <item x="10"/>
        <item x="350"/>
        <item x="352"/>
        <item x="323"/>
        <item x="147"/>
        <item x="644"/>
        <item x="606"/>
        <item x="179"/>
        <item x="102"/>
        <item x="232"/>
        <item x="246"/>
        <item x="502"/>
        <item x="310"/>
        <item x="67"/>
        <item x="387"/>
        <item x="454"/>
        <item x="671"/>
        <item x="22"/>
        <item x="466"/>
        <item x="50"/>
        <item x="353"/>
        <item x="107"/>
        <item x="719"/>
        <item x="517"/>
        <item x="55"/>
        <item x="278"/>
        <item x="351"/>
        <item x="448"/>
        <item x="459"/>
        <item x="174"/>
        <item x="103"/>
        <item x="395"/>
        <item x="535"/>
        <item x="320"/>
        <item x="165"/>
        <item x="359"/>
        <item x="667"/>
        <item x="257"/>
        <item x="561"/>
        <item x="258"/>
        <item x="696"/>
        <item x="369"/>
        <item x="111"/>
        <item x="197"/>
        <item x="141"/>
        <item x="703"/>
        <item x="514"/>
        <item x="512"/>
        <item x="519"/>
        <item x="476"/>
        <item x="537"/>
        <item x="316"/>
        <item x="498"/>
        <item x="167"/>
        <item x="482"/>
        <item x="461"/>
        <item x="711"/>
        <item x="708"/>
        <item x="360"/>
        <item x="46"/>
        <item x="23"/>
        <item x="31"/>
        <item x="530"/>
        <item x="419"/>
        <item x="391"/>
        <item x="539"/>
        <item x="70"/>
        <item x="495"/>
        <item x="418"/>
        <item x="200"/>
        <item x="59"/>
        <item x="277"/>
        <item x="274"/>
        <item x="36"/>
        <item x="110"/>
        <item x="457"/>
        <item x="220"/>
        <item x="346"/>
        <item x="689"/>
        <item x="425"/>
        <item x="326"/>
        <item x="100"/>
        <item x="538"/>
        <item x="335"/>
        <item x="99"/>
        <item x="129"/>
        <item x="185"/>
        <item x="199"/>
        <item x="368"/>
        <item x="249"/>
        <item x="132"/>
        <item x="189"/>
        <item x="593"/>
        <item x="483"/>
        <item x="192"/>
        <item x="709"/>
        <item x="154"/>
        <item x="230"/>
        <item x="383"/>
        <item x="402"/>
        <item x="664"/>
        <item x="503"/>
        <item x="693"/>
        <item x="209"/>
        <item x="58"/>
        <item x="500"/>
        <item x="181"/>
        <item x="178"/>
        <item x="292"/>
        <item x="356"/>
        <item x="450"/>
        <item x="444"/>
        <item x="305"/>
        <item x="481"/>
        <item x="191"/>
        <item x="497"/>
        <item x="508"/>
        <item x="207"/>
        <item x="721"/>
        <item x="398"/>
        <item x="289"/>
        <item x="429"/>
        <item x="308"/>
        <item x="235"/>
        <item x="409"/>
        <item x="662"/>
        <item x="96"/>
        <item x="381"/>
        <item x="599"/>
        <item x="126"/>
        <item x="490"/>
        <item x="382"/>
        <item x="155"/>
        <item x="168"/>
        <item x="474"/>
        <item x="486"/>
        <item x="686"/>
        <item x="86"/>
        <item x="184"/>
        <item x="453"/>
        <item x="715"/>
        <item x="349"/>
        <item x="2"/>
        <item x="127"/>
        <item x="511"/>
        <item x="690"/>
        <item x="312"/>
        <item x="153"/>
        <item x="331"/>
        <item x="298"/>
        <item x="584"/>
        <item x="54"/>
        <item x="113"/>
        <item x="150"/>
        <item x="421"/>
        <item x="136"/>
        <item x="639"/>
        <item x="404"/>
        <item x="303"/>
        <item x="262"/>
        <item x="201"/>
        <item x="33"/>
        <item x="162"/>
        <item x="691"/>
        <item x="263"/>
        <item x="140"/>
        <item x="641"/>
        <item x="556"/>
        <item x="114"/>
        <item x="25"/>
        <item x="397"/>
        <item x="445"/>
        <item x="585"/>
        <item x="218"/>
        <item x="366"/>
        <item x="633"/>
        <item x="504"/>
        <item x="577"/>
        <item x="49"/>
        <item x="146"/>
        <item x="285"/>
        <item x="374"/>
        <item x="240"/>
        <item x="663"/>
        <item x="563"/>
        <item x="555"/>
        <item x="488"/>
        <item x="51"/>
        <item x="527"/>
        <item x="144"/>
        <item x="507"/>
        <item x="442"/>
        <item x="175"/>
        <item x="226"/>
        <item x="75"/>
        <item x="720"/>
        <item x="78"/>
        <item x="630"/>
        <item x="580"/>
        <item x="11"/>
        <item x="640"/>
        <item x="415"/>
        <item x="479"/>
        <item x="411"/>
        <item x="210"/>
        <item x="118"/>
        <item x="666"/>
        <item x="30"/>
        <item x="317"/>
        <item x="82"/>
        <item x="467"/>
        <item x="85"/>
        <item x="578"/>
        <item x="354"/>
        <item x="609"/>
        <item x="286"/>
        <item x="371"/>
        <item x="137"/>
        <item x="438"/>
        <item x="452"/>
        <item x="701"/>
        <item x="327"/>
        <item x="542"/>
        <item x="643"/>
        <item x="602"/>
        <item x="322"/>
        <item x="613"/>
        <item x="550"/>
        <item x="5"/>
        <item x="638"/>
        <item x="281"/>
        <item x="271"/>
        <item x="311"/>
        <item x="468"/>
        <item x="681"/>
        <item x="674"/>
        <item x="590"/>
        <item x="594"/>
        <item x="42"/>
        <item x="656"/>
        <item x="620"/>
        <item x="182"/>
        <item x="624"/>
        <item x="682"/>
        <item x="44"/>
        <item x="321"/>
        <item x="108"/>
        <item x="348"/>
        <item x="43"/>
        <item x="675"/>
        <item x="213"/>
        <item x="652"/>
        <item x="101"/>
        <item x="586"/>
        <item x="237"/>
        <item x="159"/>
        <item x="417"/>
        <item x="345"/>
        <item x="582"/>
        <item x="677"/>
        <item x="552"/>
        <item x="186"/>
        <item x="712"/>
        <item x="73"/>
        <item x="309"/>
        <item x="619"/>
        <item x="546"/>
        <item x="204"/>
        <item x="135"/>
        <item x="233"/>
        <item x="13"/>
        <item x="651"/>
        <item x="491"/>
        <item x="385"/>
        <item x="12"/>
        <item x="83"/>
        <item x="545"/>
        <item x="574"/>
        <item x="260"/>
        <item x="614"/>
        <item x="670"/>
        <item x="264"/>
        <item x="478"/>
        <item x="523"/>
        <item x="17"/>
        <item x="337"/>
        <item x="152"/>
        <item x="48"/>
        <item x="471"/>
        <item x="676"/>
        <item x="267"/>
        <item x="650"/>
        <item x="615"/>
        <item x="510"/>
        <item x="109"/>
        <item x="408"/>
        <item x="386"/>
        <item x="217"/>
        <item x="266"/>
        <item x="130"/>
        <item x="473"/>
        <item x="515"/>
        <item x="365"/>
        <item x="72"/>
        <item x="536"/>
        <item x="518"/>
        <item x="275"/>
        <item x="79"/>
        <item x="65"/>
        <item x="332"/>
        <item x="521"/>
        <item x="87"/>
        <item x="520"/>
        <item x="558"/>
        <item x="307"/>
        <item x="485"/>
        <item x="112"/>
        <item x="195"/>
        <item x="41"/>
        <item x="605"/>
        <item x="680"/>
        <item x="588"/>
        <item x="256"/>
        <item x="244"/>
        <item x="330"/>
        <item x="616"/>
        <item x="700"/>
        <item x="573"/>
        <item x="470"/>
        <item x="622"/>
        <item x="603"/>
        <item x="617"/>
        <item x="692"/>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items count="4">
        <item x="1"/>
        <item x="0"/>
        <item x="2"/>
        <item t="default"/>
      </items>
    </pivotField>
    <pivotField showAll="0"/>
    <pivotField showAll="0">
      <items count="6">
        <item x="3"/>
        <item x="1"/>
        <item x="0"/>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3">
    <i>
      <x/>
    </i>
    <i>
      <x v="1"/>
    </i>
    <i t="grand">
      <x/>
    </i>
  </rowItems>
  <colItems count="1">
    <i/>
  </colItems>
  <dataFields count="1">
    <dataField name="Count of Patient_ID" fld="0" subtotal="count" baseField="10" baseItem="0"/>
  </dataFields>
  <formats count="5">
    <format dxfId="6">
      <pivotArea collapsedLevelsAreSubtotals="1" fieldPosition="0">
        <references count="1">
          <reference field="10" count="1">
            <x v="0"/>
          </reference>
        </references>
      </pivotArea>
    </format>
    <format dxfId="5">
      <pivotArea collapsedLevelsAreSubtotals="1" fieldPosition="0">
        <references count="1">
          <reference field="10" count="1">
            <x v="1"/>
          </reference>
        </references>
      </pivotArea>
    </format>
    <format dxfId="4">
      <pivotArea grandRow="1" outline="0" collapsedLevelsAreSubtotals="1" fieldPosition="0"/>
    </format>
    <format dxfId="3">
      <pivotArea outline="0" collapsedLevelsAreSubtotals="1" fieldPosition="0"/>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5" type="dateBetween" evalOrder="-1" id="108" name="Admission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08EFF0-C174-4558-B14B-086550C11B16}" autoFormatId="16" applyNumberFormats="0" applyBorderFormats="0" applyFontFormats="0" applyPatternFormats="0" applyAlignmentFormats="0" applyWidthHeightFormats="0">
  <queryTableRefresh nextId="20" unboundColumnsRight="3">
    <queryTableFields count="18">
      <queryTableField id="1" name="Patient_ID" tableColumnId="1"/>
      <queryTableField id="2" name="Age" tableColumnId="2"/>
      <queryTableField id="3" name="Gender" tableColumnId="3"/>
      <queryTableField id="4" name="Condition" tableColumnId="4"/>
      <queryTableField id="5" name="Medication " tableColumnId="5"/>
      <queryTableField id="6" name="Admission_Date" tableColumnId="6"/>
      <queryTableField id="7" name="Discharge_Date" tableColumnId="7"/>
      <queryTableField id="8" name="Patient_State" tableColumnId="8"/>
      <queryTableField id="9" name="Year_of_Admission" tableColumnId="9"/>
      <queryTableField id="10" name="Length_of_Stay" tableColumnId="10"/>
      <queryTableField id="11" name="Readmission" tableColumnId="11"/>
      <queryTableField id="12" name="Outcome" tableColumnId="12"/>
      <queryTableField id="13" name="Satisfaction" tableColumnId="13"/>
      <queryTableField id="14" name="Insurance_Claimed" tableColumnId="14"/>
      <queryTableField id="15" name="Total_Cost" tableColumnId="15"/>
      <queryTableField id="16" dataBound="0" tableColumnId="16"/>
      <queryTableField id="18" dataBound="0" tableColumnId="18"/>
      <queryTableField id="19"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ssion" xr10:uid="{662C8B5C-F9E9-4482-AABA-A1892EB7542A}" sourceName="Readmission">
  <pivotTables>
    <pivotTable tabId="1" name="PivotTable10"/>
    <pivotTable tabId="1" name="PivotTable1"/>
    <pivotTable tabId="1" name="PivotTable12"/>
    <pivotTable tabId="1" name="PivotTable13"/>
    <pivotTable tabId="1" name="PivotTable2"/>
    <pivotTable tabId="1" name="PivotTable3"/>
    <pivotTable tabId="1" name="PivotTable6"/>
    <pivotTable tabId="1" name="PivotTable7"/>
    <pivotTable tabId="1" name="PivotTable8"/>
    <pivotTable tabId="1" name="PivotTable9"/>
  </pivotTables>
  <data>
    <tabular pivotCacheId="12473208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288BDE-9EC4-444C-B3EB-CDB584779260}" sourceName="Gender">
  <pivotTables>
    <pivotTable tabId="1" name="PivotTable1"/>
    <pivotTable tabId="1" name="PivotTable10"/>
    <pivotTable tabId="1" name="PivotTable12"/>
    <pivotTable tabId="1" name="PivotTable13"/>
    <pivotTable tabId="1" name="PivotTable2"/>
    <pivotTable tabId="1" name="PivotTable3"/>
    <pivotTable tabId="1" name="PivotTable6"/>
    <pivotTable tabId="1" name="PivotTable7"/>
    <pivotTable tabId="1" name="PivotTable8"/>
    <pivotTable tabId="1" name="PivotTable4"/>
    <pivotTable tabId="1" name="PivotTable9"/>
  </pivotTables>
  <data>
    <tabular pivotCacheId="12473208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55288C5-6C61-4B68-97FF-3B77E02D4991}" sourceName="age_group">
  <pivotTables>
    <pivotTable tabId="1" name="PivotTable2"/>
    <pivotTable tabId="1" name="PivotTable1"/>
    <pivotTable tabId="1" name="PivotTable10"/>
    <pivotTable tabId="1" name="PivotTable12"/>
    <pivotTable tabId="1" name="PivotTable13"/>
    <pivotTable tabId="1" name="PivotTable6"/>
    <pivotTable tabId="1" name="PivotTable7"/>
    <pivotTable tabId="1" name="PivotTable8"/>
    <pivotTable tabId="1" name="PivotTable9"/>
  </pivotTables>
  <data>
    <tabular pivotCacheId="124732085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State" xr10:uid="{792B341C-EF8C-4968-A622-0D31FF8E7ACA}" sourceName="Patient_State">
  <pivotTables>
    <pivotTable tabId="1" name="PivotTable7"/>
  </pivotTables>
  <data>
    <tabular pivotCacheId="1247320857">
      <items count="29">
        <i x="21" s="1"/>
        <i x="28" s="1"/>
        <i x="16" s="1"/>
        <i x="9" s="1"/>
        <i x="10" s="1"/>
        <i x="8" s="1"/>
        <i x="1" s="1"/>
        <i x="7" s="1"/>
        <i x="26" s="1"/>
        <i x="19" s="1"/>
        <i x="15" s="1"/>
        <i x="27" s="1"/>
        <i x="6" s="1"/>
        <i x="0" s="1"/>
        <i x="23" s="1"/>
        <i x="2" s="1"/>
        <i x="3" s="1"/>
        <i x="13" s="1"/>
        <i x="4" s="1"/>
        <i x="11" s="1"/>
        <i x="24" s="1"/>
        <i x="20" s="1"/>
        <i x="18" s="1"/>
        <i x="25" s="1"/>
        <i x="5" s="1"/>
        <i x="22" s="1"/>
        <i x="12" s="1"/>
        <i x="17"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Year" xr10:uid="{05FE8D75-E49E-4ACF-9ACE-1E6D8282CA36}" sourceName="Discharge Year">
  <pivotTables>
    <pivotTable tabId="1" name="PivotTable13"/>
    <pivotTable tabId="1" name="PivotTable1"/>
    <pivotTable tabId="1" name="PivotTable10"/>
    <pivotTable tabId="1" name="PivotTable12"/>
    <pivotTable tabId="1" name="PivotTable2"/>
    <pivotTable tabId="1" name="PivotTable3"/>
    <pivotTable tabId="1" name="PivotTable6"/>
    <pivotTable tabId="1" name="PivotTable7"/>
    <pivotTable tabId="1" name="PivotTable8"/>
    <pivotTable tabId="1" name="PivotTable9"/>
  </pivotTables>
  <data>
    <tabular pivotCacheId="1247320857">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dmission" xr10:uid="{B8053B77-2439-46A1-A39D-5EE5038F323E}" cache="Slicer_Readmission" caption="Readmission" columnCount="2" style="SlicerStyleLight4" rowHeight="257175"/>
  <slicer name="Gender" xr10:uid="{2E1567F4-B00D-4FB9-9ECF-787EF23D48F8}" cache="Slicer_Gender" caption="Gender" columnCount="2" style="SlicerStyleLight4" rowHeight="257175"/>
  <slicer name="age_group" xr10:uid="{B34E3E96-59C4-4534-B2D3-D34DFDC61BA6}" cache="Slicer_age_group" caption="Age Group" rowHeight="257175"/>
  <slicer name="Patient_State" xr10:uid="{5C0695EA-8713-4A45-BCBD-47A7F74FE5D1}" cache="Slicer_Patient_State" caption="Patient_State" startItem="24" rowHeight="257175"/>
  <slicer name="Discharge Year" xr10:uid="{7A2E13C9-FE87-4299-879D-7265A2091E44}" cache="Slicer_Discharge_Year" caption="Yea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964FB-CF5C-4B2F-8DAC-4C7D13A0B74F}" name="Hospital_Patient" displayName="Hospital_Patient" ref="A1:R985" tableType="queryTable" totalsRowShown="0">
  <autoFilter ref="A1:R985" xr:uid="{FC9964FB-CF5C-4B2F-8DAC-4C7D13A0B74F}">
    <filterColumn colId="2">
      <filters>
        <filter val="Female"/>
      </filters>
    </filterColumn>
  </autoFilter>
  <sortState xmlns:xlrd2="http://schemas.microsoft.com/office/spreadsheetml/2017/richdata2" ref="A2:R985">
    <sortCondition descending="1" ref="G1:G985"/>
  </sortState>
  <tableColumns count="18">
    <tableColumn id="1" xr3:uid="{3A9855A8-6DB1-4543-96C1-93E16BD78565}" uniqueName="1" name="Patient_ID" queryTableFieldId="1"/>
    <tableColumn id="2" xr3:uid="{998CF144-0E8A-4F28-ADC9-B8A6BBC5DA18}" uniqueName="2" name="Age" queryTableFieldId="2"/>
    <tableColumn id="3" xr3:uid="{31524A30-7A21-453D-867D-2121826C835C}" uniqueName="3" name="Gender" queryTableFieldId="3"/>
    <tableColumn id="4" xr3:uid="{1E7293C9-6F55-40CE-963B-E2D9D31AA914}" uniqueName="4" name="Condition" queryTableFieldId="4"/>
    <tableColumn id="5" xr3:uid="{B2E75E9E-633B-41AD-B22A-C39F6110687F}" uniqueName="5" name="Medication " queryTableFieldId="5"/>
    <tableColumn id="6" xr3:uid="{A06C4746-8BF7-44E5-ADC1-5FDEDECA9632}" uniqueName="6" name="Admission_Date" queryTableFieldId="6" dataDxfId="9"/>
    <tableColumn id="7" xr3:uid="{B45CDA76-A68C-4D7F-9DC7-D96D0B8ADF77}" uniqueName="7" name="Discharge_Date" queryTableFieldId="7" dataDxfId="8"/>
    <tableColumn id="8" xr3:uid="{9CD5711C-1E20-4465-86F5-7EB8F6B5FD90}" uniqueName="8" name="Patient_State" queryTableFieldId="8"/>
    <tableColumn id="9" xr3:uid="{1828E29F-53AC-4DA1-8DE2-B4139DC13538}" uniqueName="9" name="Year_of_Admission" queryTableFieldId="9"/>
    <tableColumn id="10" xr3:uid="{94E72B4D-B640-49F8-B688-80E56F1DBB1E}" uniqueName="10" name="Length_of_Stay" queryTableFieldId="10"/>
    <tableColumn id="11" xr3:uid="{110A1A1D-C104-4E03-A296-3A0FEB2E52B4}" uniqueName="11" name="Readmission" queryTableFieldId="11"/>
    <tableColumn id="12" xr3:uid="{4F3B716E-7E7D-4664-B86F-B95AAEE69822}" uniqueName="12" name="Outcome" queryTableFieldId="12"/>
    <tableColumn id="13" xr3:uid="{66279CD9-D266-4E24-A7B5-6D43F76DF437}" uniqueName="13" name="Satisfaction" queryTableFieldId="13"/>
    <tableColumn id="14" xr3:uid="{E621A675-DFA5-431D-A5DA-981BB5D5C78B}" uniqueName="14" name="Insurance_Claimed" queryTableFieldId="14"/>
    <tableColumn id="15" xr3:uid="{50528D10-80FE-47E1-966E-93BBDFDA0166}" uniqueName="15" name="Total_Cost" queryTableFieldId="15"/>
    <tableColumn id="16" xr3:uid="{510884A5-3399-4607-A1AB-55E19B5EE188}" uniqueName="16" name="age_group" queryTableFieldId="16">
      <calculatedColumnFormula array="1">_xlfn.IFS(Hospital_Patient[[#This Row],[Age]]&lt;=18,"Young",Hospital_Patient[[#This Row],[Age]]&lt;=36,"Adult",Hospital_Patient[[#This Row],[Age]]&lt;=60,"Middle Age",Hospital_Patient[[#This Row],[Age]]&gt;60,"Senior")</calculatedColumnFormula>
    </tableColumn>
    <tableColumn id="18" xr3:uid="{61785087-4E8E-41FD-A494-B63D001CB479}" uniqueName="18" name="patient_stay_level" queryTableFieldId="18">
      <calculatedColumnFormula array="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calculatedColumnFormula>
    </tableColumn>
    <tableColumn id="17" xr3:uid="{10B5F0F2-6B5B-4269-B331-C114A31D0649}" uniqueName="17" name="Discharge Year" queryTableFieldId="19" dataDxfId="7">
      <calculatedColumnFormula>YEAR(Hospital_Patient[[#This Row],[Discharge_Date]])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4CC0-F93C-4702-82CD-08CA10937B61}">
  <dimension ref="A1:R993"/>
  <sheetViews>
    <sheetView tabSelected="1" workbookViewId="0">
      <selection activeCell="M993" sqref="M993"/>
    </sheetView>
  </sheetViews>
  <sheetFormatPr defaultRowHeight="15" x14ac:dyDescent="0.25"/>
  <cols>
    <col min="1" max="1" width="12.5703125" bestFit="1" customWidth="1"/>
    <col min="2" max="2" width="6.5703125" bestFit="1" customWidth="1"/>
    <col min="3" max="3" width="10" bestFit="1" customWidth="1"/>
    <col min="4" max="4" width="19.42578125" bestFit="1" customWidth="1"/>
    <col min="5" max="5" width="36.85546875" bestFit="1" customWidth="1"/>
    <col min="6" max="6" width="18" style="5" bestFit="1" customWidth="1"/>
    <col min="7" max="7" width="17.5703125" style="5" bestFit="1" customWidth="1"/>
    <col min="8" max="8" width="18.140625" bestFit="1" customWidth="1"/>
    <col min="9" max="9" width="20.5703125" bestFit="1" customWidth="1"/>
    <col min="10" max="10" width="17" bestFit="1" customWidth="1"/>
    <col min="11" max="11" width="15" bestFit="1" customWidth="1"/>
    <col min="12" max="12" width="11.5703125" bestFit="1" customWidth="1"/>
    <col min="13" max="13" width="14" bestFit="1" customWidth="1"/>
    <col min="14" max="14" width="20.85546875" bestFit="1" customWidth="1"/>
    <col min="15" max="15" width="12.85546875" bestFit="1" customWidth="1"/>
    <col min="16" max="16" width="12.42578125" bestFit="1" customWidth="1"/>
    <col min="17" max="17" width="19.85546875" bestFit="1" customWidth="1"/>
    <col min="18" max="18" width="16.85546875" bestFit="1" customWidth="1"/>
  </cols>
  <sheetData>
    <row r="1" spans="1:18" x14ac:dyDescent="0.25">
      <c r="A1" t="s">
        <v>0</v>
      </c>
      <c r="B1" t="s">
        <v>1</v>
      </c>
      <c r="C1" t="s">
        <v>2</v>
      </c>
      <c r="D1" t="s">
        <v>3</v>
      </c>
      <c r="E1" t="s">
        <v>4</v>
      </c>
      <c r="F1" s="5" t="s">
        <v>5</v>
      </c>
      <c r="G1" s="5" t="s">
        <v>6</v>
      </c>
      <c r="H1" t="s">
        <v>7</v>
      </c>
      <c r="I1" t="s">
        <v>8</v>
      </c>
      <c r="J1" t="s">
        <v>9</v>
      </c>
      <c r="K1" t="s">
        <v>10</v>
      </c>
      <c r="L1" t="s">
        <v>11</v>
      </c>
      <c r="M1" t="s">
        <v>12</v>
      </c>
      <c r="N1" t="s">
        <v>13</v>
      </c>
      <c r="O1" t="s">
        <v>14</v>
      </c>
      <c r="P1" t="s">
        <v>80</v>
      </c>
      <c r="Q1" t="s">
        <v>88</v>
      </c>
      <c r="R1" t="s">
        <v>101</v>
      </c>
    </row>
    <row r="2" spans="1:18" hidden="1" x14ac:dyDescent="0.25">
      <c r="A2">
        <v>932</v>
      </c>
      <c r="B2">
        <v>62</v>
      </c>
      <c r="C2" t="s">
        <v>22</v>
      </c>
      <c r="D2" t="s">
        <v>23</v>
      </c>
      <c r="E2" t="s">
        <v>24</v>
      </c>
      <c r="F2" s="5">
        <v>46012</v>
      </c>
      <c r="G2" s="5">
        <v>46078</v>
      </c>
      <c r="H2" t="s">
        <v>73</v>
      </c>
      <c r="I2">
        <v>2025</v>
      </c>
      <c r="J2">
        <v>66</v>
      </c>
      <c r="K2" t="s">
        <v>19</v>
      </c>
      <c r="L2" t="s">
        <v>26</v>
      </c>
      <c r="M2">
        <v>4</v>
      </c>
      <c r="N2" t="s">
        <v>19</v>
      </c>
      <c r="O2">
        <v>2000</v>
      </c>
      <c r="P2" t="str" cm="1">
        <f t="array" ref="P2">_xlfn.IFS(Hospital_Patient[[#This Row],[Age]]&lt;=18,"Young",Hospital_Patient[[#This Row],[Age]]&lt;=36,"Adult",Hospital_Patient[[#This Row],[Age]]&lt;=60,"Middle Age",Hospital_Patient[[#This Row],[Age]]&gt;60,"Senior")</f>
        <v>Senior</v>
      </c>
      <c r="Q2" t="str" cm="1">
        <f t="array" ref="Q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
        <f>YEAR(Hospital_Patient[[#This Row],[Discharge_Date]])</f>
        <v>2026</v>
      </c>
    </row>
    <row r="3" spans="1:18" hidden="1" x14ac:dyDescent="0.25">
      <c r="A3">
        <v>803</v>
      </c>
      <c r="B3">
        <v>68</v>
      </c>
      <c r="C3" t="s">
        <v>22</v>
      </c>
      <c r="D3" t="s">
        <v>36</v>
      </c>
      <c r="E3" t="s">
        <v>37</v>
      </c>
      <c r="F3" s="5">
        <v>46013</v>
      </c>
      <c r="G3" s="5">
        <v>46071</v>
      </c>
      <c r="H3" t="s">
        <v>38</v>
      </c>
      <c r="I3">
        <v>2025</v>
      </c>
      <c r="J3">
        <v>58</v>
      </c>
      <c r="K3" t="s">
        <v>19</v>
      </c>
      <c r="L3" t="s">
        <v>26</v>
      </c>
      <c r="M3">
        <v>4</v>
      </c>
      <c r="N3" t="s">
        <v>19</v>
      </c>
      <c r="O3">
        <v>1000</v>
      </c>
      <c r="P3" t="str" cm="1">
        <f t="array" ref="P3">_xlfn.IFS(Hospital_Patient[[#This Row],[Age]]&lt;=18,"Young",Hospital_Patient[[#This Row],[Age]]&lt;=36,"Adult",Hospital_Patient[[#This Row],[Age]]&lt;=60,"Middle Age",Hospital_Patient[[#This Row],[Age]]&gt;60,"Senior")</f>
        <v>Senior</v>
      </c>
      <c r="Q3" t="str" cm="1">
        <f t="array" ref="Q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
        <f>YEAR(Hospital_Patient[[#This Row],[Discharge_Date]])</f>
        <v>2026</v>
      </c>
    </row>
    <row r="4" spans="1:18" x14ac:dyDescent="0.25">
      <c r="A4">
        <v>778</v>
      </c>
      <c r="B4">
        <v>52</v>
      </c>
      <c r="C4" t="s">
        <v>15</v>
      </c>
      <c r="D4" t="s">
        <v>49</v>
      </c>
      <c r="E4" t="s">
        <v>50</v>
      </c>
      <c r="F4" s="5">
        <v>46016</v>
      </c>
      <c r="G4" s="5">
        <v>46070</v>
      </c>
      <c r="H4" t="s">
        <v>51</v>
      </c>
      <c r="I4">
        <v>2025</v>
      </c>
      <c r="J4">
        <v>54</v>
      </c>
      <c r="K4" t="s">
        <v>19</v>
      </c>
      <c r="L4" t="s">
        <v>26</v>
      </c>
      <c r="M4">
        <v>4</v>
      </c>
      <c r="N4" t="s">
        <v>19</v>
      </c>
      <c r="O4">
        <v>800</v>
      </c>
      <c r="P4" t="str" cm="1">
        <f t="array" ref="P4">_xlfn.IFS(Hospital_Patient[[#This Row],[Age]]&lt;=18,"Young",Hospital_Patient[[#This Row],[Age]]&lt;=36,"Adult",Hospital_Patient[[#This Row],[Age]]&lt;=60,"Middle Age",Hospital_Patient[[#This Row],[Age]]&gt;60,"Senior")</f>
        <v>Middle Age</v>
      </c>
      <c r="Q4" t="str" cm="1">
        <f t="array" ref="Q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
        <f>YEAR(Hospital_Patient[[#This Row],[Discharge_Date]])</f>
        <v>2026</v>
      </c>
    </row>
    <row r="5" spans="1:18" hidden="1" x14ac:dyDescent="0.25">
      <c r="A5">
        <v>811</v>
      </c>
      <c r="B5">
        <v>55</v>
      </c>
      <c r="C5" t="s">
        <v>22</v>
      </c>
      <c r="D5" t="s">
        <v>57</v>
      </c>
      <c r="E5" t="s">
        <v>58</v>
      </c>
      <c r="F5" s="5">
        <v>46011</v>
      </c>
      <c r="G5" s="5">
        <v>46069</v>
      </c>
      <c r="H5" t="s">
        <v>77</v>
      </c>
      <c r="I5">
        <v>2025</v>
      </c>
      <c r="J5">
        <v>58</v>
      </c>
      <c r="K5" t="s">
        <v>19</v>
      </c>
      <c r="L5" t="s">
        <v>20</v>
      </c>
      <c r="M5">
        <v>3</v>
      </c>
      <c r="N5" t="s">
        <v>19</v>
      </c>
      <c r="O5">
        <v>6000</v>
      </c>
      <c r="P5" t="str" cm="1">
        <f t="array" ref="P5">_xlfn.IFS(Hospital_Patient[[#This Row],[Age]]&lt;=18,"Young",Hospital_Patient[[#This Row],[Age]]&lt;=36,"Adult",Hospital_Patient[[#This Row],[Age]]&lt;=60,"Middle Age",Hospital_Patient[[#This Row],[Age]]&gt;60,"Senior")</f>
        <v>Middle Age</v>
      </c>
      <c r="Q5" t="str" cm="1">
        <f t="array" ref="Q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
        <f>YEAR(Hospital_Patient[[#This Row],[Discharge_Date]])</f>
        <v>2026</v>
      </c>
    </row>
    <row r="6" spans="1:18" hidden="1" x14ac:dyDescent="0.25">
      <c r="A6">
        <v>580</v>
      </c>
      <c r="B6">
        <v>78</v>
      </c>
      <c r="C6" t="s">
        <v>22</v>
      </c>
      <c r="D6" t="s">
        <v>30</v>
      </c>
      <c r="E6" t="s">
        <v>31</v>
      </c>
      <c r="F6" s="5">
        <v>46021</v>
      </c>
      <c r="G6" s="5">
        <v>46068</v>
      </c>
      <c r="H6" t="s">
        <v>63</v>
      </c>
      <c r="I6">
        <v>2025</v>
      </c>
      <c r="J6">
        <v>47</v>
      </c>
      <c r="K6" t="s">
        <v>19</v>
      </c>
      <c r="L6" t="s">
        <v>26</v>
      </c>
      <c r="M6">
        <v>2</v>
      </c>
      <c r="N6" t="s">
        <v>19</v>
      </c>
      <c r="O6">
        <v>10000</v>
      </c>
      <c r="P6" t="str" cm="1">
        <f t="array" ref="P6">_xlfn.IFS(Hospital_Patient[[#This Row],[Age]]&lt;=18,"Young",Hospital_Patient[[#This Row],[Age]]&lt;=36,"Adult",Hospital_Patient[[#This Row],[Age]]&lt;=60,"Middle Age",Hospital_Patient[[#This Row],[Age]]&gt;60,"Senior")</f>
        <v>Senior</v>
      </c>
      <c r="Q6" t="str" cm="1">
        <f t="array" ref="Q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
        <f>YEAR(Hospital_Patient[[#This Row],[Discharge_Date]])</f>
        <v>2026</v>
      </c>
    </row>
    <row r="7" spans="1:18" hidden="1" x14ac:dyDescent="0.25">
      <c r="A7">
        <v>731</v>
      </c>
      <c r="B7">
        <v>45</v>
      </c>
      <c r="C7" t="s">
        <v>22</v>
      </c>
      <c r="D7" t="s">
        <v>42</v>
      </c>
      <c r="E7" t="s">
        <v>43</v>
      </c>
      <c r="F7" s="5">
        <v>46009</v>
      </c>
      <c r="G7" s="5">
        <v>46064</v>
      </c>
      <c r="H7" t="s">
        <v>29</v>
      </c>
      <c r="I7">
        <v>2025</v>
      </c>
      <c r="J7">
        <v>55</v>
      </c>
      <c r="K7" t="s">
        <v>19</v>
      </c>
      <c r="L7" t="s">
        <v>20</v>
      </c>
      <c r="M7">
        <v>4</v>
      </c>
      <c r="N7" t="s">
        <v>21</v>
      </c>
      <c r="O7">
        <v>3000</v>
      </c>
      <c r="P7" t="str" cm="1">
        <f t="array" ref="P7">_xlfn.IFS(Hospital_Patient[[#This Row],[Age]]&lt;=18,"Young",Hospital_Patient[[#This Row],[Age]]&lt;=36,"Adult",Hospital_Patient[[#This Row],[Age]]&lt;=60,"Middle Age",Hospital_Patient[[#This Row],[Age]]&gt;60,"Senior")</f>
        <v>Middle Age</v>
      </c>
      <c r="Q7" t="str" cm="1">
        <f t="array" ref="Q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
        <f>YEAR(Hospital_Patient[[#This Row],[Discharge_Date]])</f>
        <v>2026</v>
      </c>
    </row>
    <row r="8" spans="1:18" hidden="1" x14ac:dyDescent="0.25">
      <c r="A8">
        <v>944</v>
      </c>
      <c r="B8">
        <v>50</v>
      </c>
      <c r="C8" t="s">
        <v>22</v>
      </c>
      <c r="D8" t="s">
        <v>57</v>
      </c>
      <c r="E8" t="s">
        <v>58</v>
      </c>
      <c r="F8" s="5">
        <v>45995</v>
      </c>
      <c r="G8" s="5">
        <v>46062</v>
      </c>
      <c r="H8" t="s">
        <v>44</v>
      </c>
      <c r="I8">
        <v>2025</v>
      </c>
      <c r="J8">
        <v>67</v>
      </c>
      <c r="K8" t="s">
        <v>19</v>
      </c>
      <c r="L8" t="s">
        <v>20</v>
      </c>
      <c r="M8">
        <v>3</v>
      </c>
      <c r="N8" t="s">
        <v>21</v>
      </c>
      <c r="O8">
        <v>6000</v>
      </c>
      <c r="P8" t="str" cm="1">
        <f t="array" ref="P8">_xlfn.IFS(Hospital_Patient[[#This Row],[Age]]&lt;=18,"Young",Hospital_Patient[[#This Row],[Age]]&lt;=36,"Adult",Hospital_Patient[[#This Row],[Age]]&lt;=60,"Middle Age",Hospital_Patient[[#This Row],[Age]]&gt;60,"Senior")</f>
        <v>Middle Age</v>
      </c>
      <c r="Q8" t="str" cm="1">
        <f t="array" ref="Q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
        <f>YEAR(Hospital_Patient[[#This Row],[Discharge_Date]])</f>
        <v>2026</v>
      </c>
    </row>
    <row r="9" spans="1:18" hidden="1" x14ac:dyDescent="0.25">
      <c r="A9">
        <v>801</v>
      </c>
      <c r="B9">
        <v>70</v>
      </c>
      <c r="C9" t="s">
        <v>22</v>
      </c>
      <c r="D9" t="s">
        <v>30</v>
      </c>
      <c r="E9" t="s">
        <v>31</v>
      </c>
      <c r="F9" s="5">
        <v>45996</v>
      </c>
      <c r="G9" s="5">
        <v>46058</v>
      </c>
      <c r="H9" t="s">
        <v>63</v>
      </c>
      <c r="I9">
        <v>2025</v>
      </c>
      <c r="J9">
        <v>62</v>
      </c>
      <c r="K9" t="s">
        <v>21</v>
      </c>
      <c r="L9" t="s">
        <v>26</v>
      </c>
      <c r="M9">
        <v>2</v>
      </c>
      <c r="N9" t="s">
        <v>19</v>
      </c>
      <c r="O9">
        <v>10000</v>
      </c>
      <c r="P9" t="str" cm="1">
        <f t="array" ref="P9">_xlfn.IFS(Hospital_Patient[[#This Row],[Age]]&lt;=18,"Young",Hospital_Patient[[#This Row],[Age]]&lt;=36,"Adult",Hospital_Patient[[#This Row],[Age]]&lt;=60,"Middle Age",Hospital_Patient[[#This Row],[Age]]&gt;60,"Senior")</f>
        <v>Senior</v>
      </c>
      <c r="Q9" t="str" cm="1">
        <f t="array" ref="Q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
        <f>YEAR(Hospital_Patient[[#This Row],[Discharge_Date]])</f>
        <v>2026</v>
      </c>
    </row>
    <row r="10" spans="1:18" hidden="1" x14ac:dyDescent="0.25">
      <c r="A10">
        <v>375</v>
      </c>
      <c r="B10">
        <v>72</v>
      </c>
      <c r="C10" t="s">
        <v>22</v>
      </c>
      <c r="D10" t="s">
        <v>36</v>
      </c>
      <c r="E10" t="s">
        <v>37</v>
      </c>
      <c r="F10" s="5">
        <v>46018</v>
      </c>
      <c r="G10" s="5">
        <v>46045</v>
      </c>
      <c r="H10" t="s">
        <v>69</v>
      </c>
      <c r="I10">
        <v>2025</v>
      </c>
      <c r="J10">
        <v>27</v>
      </c>
      <c r="K10" t="s">
        <v>19</v>
      </c>
      <c r="L10" t="s">
        <v>26</v>
      </c>
      <c r="M10">
        <v>4</v>
      </c>
      <c r="N10" t="s">
        <v>19</v>
      </c>
      <c r="O10">
        <v>1000</v>
      </c>
      <c r="P10" t="str" cm="1">
        <f t="array" ref="P10">_xlfn.IFS(Hospital_Patient[[#This Row],[Age]]&lt;=18,"Young",Hospital_Patient[[#This Row],[Age]]&lt;=36,"Adult",Hospital_Patient[[#This Row],[Age]]&lt;=60,"Middle Age",Hospital_Patient[[#This Row],[Age]]&gt;60,"Senior")</f>
        <v>Senior</v>
      </c>
      <c r="Q10" t="str" cm="1">
        <f t="array" ref="Q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0">
        <f>YEAR(Hospital_Patient[[#This Row],[Discharge_Date]])</f>
        <v>2026</v>
      </c>
    </row>
    <row r="11" spans="1:18" hidden="1" x14ac:dyDescent="0.25">
      <c r="A11">
        <v>417</v>
      </c>
      <c r="B11">
        <v>70</v>
      </c>
      <c r="C11" t="s">
        <v>22</v>
      </c>
      <c r="D11" t="s">
        <v>30</v>
      </c>
      <c r="E11" t="s">
        <v>31</v>
      </c>
      <c r="F11" s="5">
        <v>46009</v>
      </c>
      <c r="G11" s="5">
        <v>46045</v>
      </c>
      <c r="H11" t="s">
        <v>63</v>
      </c>
      <c r="I11">
        <v>2025</v>
      </c>
      <c r="J11">
        <v>36</v>
      </c>
      <c r="K11" t="s">
        <v>21</v>
      </c>
      <c r="L11" t="s">
        <v>26</v>
      </c>
      <c r="M11">
        <v>2</v>
      </c>
      <c r="N11" t="s">
        <v>21</v>
      </c>
      <c r="O11">
        <v>10000</v>
      </c>
      <c r="P11" t="str" cm="1">
        <f t="array" ref="P11">_xlfn.IFS(Hospital_Patient[[#This Row],[Age]]&lt;=18,"Young",Hospital_Patient[[#This Row],[Age]]&lt;=36,"Adult",Hospital_Patient[[#This Row],[Age]]&lt;=60,"Middle Age",Hospital_Patient[[#This Row],[Age]]&gt;60,"Senior")</f>
        <v>Senior</v>
      </c>
      <c r="Q11" t="str" cm="1">
        <f t="array" ref="Q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1">
        <f>YEAR(Hospital_Patient[[#This Row],[Discharge_Date]])</f>
        <v>2026</v>
      </c>
    </row>
    <row r="12" spans="1:18" x14ac:dyDescent="0.25">
      <c r="A12">
        <v>271</v>
      </c>
      <c r="B12">
        <v>55</v>
      </c>
      <c r="C12" t="s">
        <v>15</v>
      </c>
      <c r="D12" t="s">
        <v>33</v>
      </c>
      <c r="E12" t="s">
        <v>34</v>
      </c>
      <c r="F12" s="5">
        <v>46016</v>
      </c>
      <c r="G12" s="5">
        <v>46044</v>
      </c>
      <c r="H12" t="s">
        <v>67</v>
      </c>
      <c r="I12">
        <v>2025</v>
      </c>
      <c r="J12">
        <v>28</v>
      </c>
      <c r="K12" t="s">
        <v>19</v>
      </c>
      <c r="L12" t="s">
        <v>20</v>
      </c>
      <c r="M12">
        <v>4</v>
      </c>
      <c r="N12" t="s">
        <v>19</v>
      </c>
      <c r="O12">
        <v>25000</v>
      </c>
      <c r="P12" t="str" cm="1">
        <f t="array" ref="P12">_xlfn.IFS(Hospital_Patient[[#This Row],[Age]]&lt;=18,"Young",Hospital_Patient[[#This Row],[Age]]&lt;=36,"Adult",Hospital_Patient[[#This Row],[Age]]&lt;=60,"Middle Age",Hospital_Patient[[#This Row],[Age]]&gt;60,"Senior")</f>
        <v>Middle Age</v>
      </c>
      <c r="Q12" t="str" cm="1">
        <f t="array" ref="Q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2">
        <f>YEAR(Hospital_Patient[[#This Row],[Discharge_Date]])</f>
        <v>2026</v>
      </c>
    </row>
    <row r="13" spans="1:18" x14ac:dyDescent="0.25">
      <c r="A13">
        <v>286</v>
      </c>
      <c r="B13">
        <v>53</v>
      </c>
      <c r="C13" t="s">
        <v>15</v>
      </c>
      <c r="D13" t="s">
        <v>33</v>
      </c>
      <c r="E13" t="s">
        <v>34</v>
      </c>
      <c r="F13" s="5">
        <v>46014</v>
      </c>
      <c r="G13" s="5">
        <v>46043</v>
      </c>
      <c r="H13" t="s">
        <v>67</v>
      </c>
      <c r="I13">
        <v>2025</v>
      </c>
      <c r="J13">
        <v>29</v>
      </c>
      <c r="K13" t="s">
        <v>21</v>
      </c>
      <c r="L13" t="s">
        <v>20</v>
      </c>
      <c r="M13">
        <v>4</v>
      </c>
      <c r="N13" t="s">
        <v>19</v>
      </c>
      <c r="O13">
        <v>25000</v>
      </c>
      <c r="P13" t="str" cm="1">
        <f t="array" ref="P13">_xlfn.IFS(Hospital_Patient[[#This Row],[Age]]&lt;=18,"Young",Hospital_Patient[[#This Row],[Age]]&lt;=36,"Adult",Hospital_Patient[[#This Row],[Age]]&lt;=60,"Middle Age",Hospital_Patient[[#This Row],[Age]]&gt;60,"Senior")</f>
        <v>Middle Age</v>
      </c>
      <c r="Q13" t="str" cm="1">
        <f t="array" ref="Q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3">
        <f>YEAR(Hospital_Patient[[#This Row],[Discharge_Date]])</f>
        <v>2026</v>
      </c>
    </row>
    <row r="14" spans="1:18" x14ac:dyDescent="0.25">
      <c r="A14">
        <v>758</v>
      </c>
      <c r="B14">
        <v>53</v>
      </c>
      <c r="C14" t="s">
        <v>15</v>
      </c>
      <c r="D14" t="s">
        <v>33</v>
      </c>
      <c r="E14" t="s">
        <v>34</v>
      </c>
      <c r="F14" s="5">
        <v>45981</v>
      </c>
      <c r="G14" s="5">
        <v>46042</v>
      </c>
      <c r="H14" t="s">
        <v>35</v>
      </c>
      <c r="I14">
        <v>2025</v>
      </c>
      <c r="J14">
        <v>61</v>
      </c>
      <c r="K14" t="s">
        <v>21</v>
      </c>
      <c r="L14" t="s">
        <v>20</v>
      </c>
      <c r="M14">
        <v>4</v>
      </c>
      <c r="N14" t="s">
        <v>19</v>
      </c>
      <c r="O14">
        <v>25000</v>
      </c>
      <c r="P14" t="str" cm="1">
        <f t="array" ref="P14">_xlfn.IFS(Hospital_Patient[[#This Row],[Age]]&lt;=18,"Young",Hospital_Patient[[#This Row],[Age]]&lt;=36,"Adult",Hospital_Patient[[#This Row],[Age]]&lt;=60,"Middle Age",Hospital_Patient[[#This Row],[Age]]&gt;60,"Senior")</f>
        <v>Middle Age</v>
      </c>
      <c r="Q14" t="str" cm="1">
        <f t="array" ref="Q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4">
        <f>YEAR(Hospital_Patient[[#This Row],[Discharge_Date]])</f>
        <v>2026</v>
      </c>
    </row>
    <row r="15" spans="1:18" x14ac:dyDescent="0.25">
      <c r="A15">
        <v>911</v>
      </c>
      <c r="B15">
        <v>52</v>
      </c>
      <c r="C15" t="s">
        <v>15</v>
      </c>
      <c r="D15" t="s">
        <v>49</v>
      </c>
      <c r="E15" t="s">
        <v>50</v>
      </c>
      <c r="F15" s="5">
        <v>45977</v>
      </c>
      <c r="G15" s="5">
        <v>46040</v>
      </c>
      <c r="H15" t="s">
        <v>66</v>
      </c>
      <c r="I15">
        <v>2025</v>
      </c>
      <c r="J15">
        <v>63</v>
      </c>
      <c r="K15" t="s">
        <v>19</v>
      </c>
      <c r="L15" t="s">
        <v>26</v>
      </c>
      <c r="M15">
        <v>4</v>
      </c>
      <c r="N15" t="s">
        <v>21</v>
      </c>
      <c r="O15">
        <v>800</v>
      </c>
      <c r="P15" t="str" cm="1">
        <f t="array" ref="P15">_xlfn.IFS(Hospital_Patient[[#This Row],[Age]]&lt;=18,"Young",Hospital_Patient[[#This Row],[Age]]&lt;=36,"Adult",Hospital_Patient[[#This Row],[Age]]&lt;=60,"Middle Age",Hospital_Patient[[#This Row],[Age]]&gt;60,"Senior")</f>
        <v>Middle Age</v>
      </c>
      <c r="Q15" t="str" cm="1">
        <f t="array" ref="Q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5">
        <f>YEAR(Hospital_Patient[[#This Row],[Discharge_Date]])</f>
        <v>2026</v>
      </c>
    </row>
    <row r="16" spans="1:18" x14ac:dyDescent="0.25">
      <c r="A16">
        <v>780</v>
      </c>
      <c r="B16">
        <v>32</v>
      </c>
      <c r="C16" t="s">
        <v>15</v>
      </c>
      <c r="D16" t="s">
        <v>54</v>
      </c>
      <c r="E16" t="s">
        <v>55</v>
      </c>
      <c r="F16" s="5">
        <v>45984</v>
      </c>
      <c r="G16" s="5">
        <v>46039</v>
      </c>
      <c r="H16" t="s">
        <v>76</v>
      </c>
      <c r="I16">
        <v>2025</v>
      </c>
      <c r="J16">
        <v>55</v>
      </c>
      <c r="K16" t="s">
        <v>19</v>
      </c>
      <c r="L16" t="s">
        <v>20</v>
      </c>
      <c r="M16">
        <v>4</v>
      </c>
      <c r="N16" t="s">
        <v>21</v>
      </c>
      <c r="O16">
        <v>12000</v>
      </c>
      <c r="P16" t="str" cm="1">
        <f t="array" ref="P16">_xlfn.IFS(Hospital_Patient[[#This Row],[Age]]&lt;=18,"Young",Hospital_Patient[[#This Row],[Age]]&lt;=36,"Adult",Hospital_Patient[[#This Row],[Age]]&lt;=60,"Middle Age",Hospital_Patient[[#This Row],[Age]]&gt;60,"Senior")</f>
        <v>Adult</v>
      </c>
      <c r="Q16" t="str" cm="1">
        <f t="array" ref="Q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6">
        <f>YEAR(Hospital_Patient[[#This Row],[Discharge_Date]])</f>
        <v>2026</v>
      </c>
    </row>
    <row r="17" spans="1:18" hidden="1" x14ac:dyDescent="0.25">
      <c r="A17">
        <v>42</v>
      </c>
      <c r="B17">
        <v>58</v>
      </c>
      <c r="C17" t="s">
        <v>22</v>
      </c>
      <c r="D17" t="s">
        <v>52</v>
      </c>
      <c r="E17" t="s">
        <v>53</v>
      </c>
      <c r="F17" s="5">
        <v>46017</v>
      </c>
      <c r="G17" s="5">
        <v>46028</v>
      </c>
      <c r="H17" t="s">
        <v>51</v>
      </c>
      <c r="I17">
        <v>2025</v>
      </c>
      <c r="J17">
        <v>11</v>
      </c>
      <c r="K17" t="s">
        <v>19</v>
      </c>
      <c r="L17" t="s">
        <v>20</v>
      </c>
      <c r="M17">
        <v>3</v>
      </c>
      <c r="N17" t="s">
        <v>19</v>
      </c>
      <c r="O17">
        <v>20000</v>
      </c>
      <c r="P17" t="str" cm="1">
        <f t="array" ref="P17">_xlfn.IFS(Hospital_Patient[[#This Row],[Age]]&lt;=18,"Young",Hospital_Patient[[#This Row],[Age]]&lt;=36,"Adult",Hospital_Patient[[#This Row],[Age]]&lt;=60,"Middle Age",Hospital_Patient[[#This Row],[Age]]&gt;60,"Senior")</f>
        <v>Middle Age</v>
      </c>
      <c r="Q17" t="str" cm="1">
        <f t="array" ref="Q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7">
        <f>YEAR(Hospital_Patient[[#This Row],[Discharge_Date]])</f>
        <v>2026</v>
      </c>
    </row>
    <row r="18" spans="1:18" hidden="1" x14ac:dyDescent="0.25">
      <c r="A18">
        <v>211</v>
      </c>
      <c r="B18">
        <v>70</v>
      </c>
      <c r="C18" t="s">
        <v>22</v>
      </c>
      <c r="D18" t="s">
        <v>30</v>
      </c>
      <c r="E18" t="s">
        <v>31</v>
      </c>
      <c r="F18" s="5">
        <v>46004</v>
      </c>
      <c r="G18" s="5">
        <v>46025</v>
      </c>
      <c r="H18" t="s">
        <v>63</v>
      </c>
      <c r="I18">
        <v>2025</v>
      </c>
      <c r="J18">
        <v>21</v>
      </c>
      <c r="K18" t="s">
        <v>21</v>
      </c>
      <c r="L18" t="s">
        <v>26</v>
      </c>
      <c r="M18">
        <v>2</v>
      </c>
      <c r="N18" t="s">
        <v>21</v>
      </c>
      <c r="O18">
        <v>10000</v>
      </c>
      <c r="P18" t="str" cm="1">
        <f t="array" ref="P18">_xlfn.IFS(Hospital_Patient[[#This Row],[Age]]&lt;=18,"Young",Hospital_Patient[[#This Row],[Age]]&lt;=36,"Adult",Hospital_Patient[[#This Row],[Age]]&lt;=60,"Middle Age",Hospital_Patient[[#This Row],[Age]]&gt;60,"Senior")</f>
        <v>Senior</v>
      </c>
      <c r="Q18" t="str" cm="1">
        <f t="array" ref="Q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8">
        <f>YEAR(Hospital_Patient[[#This Row],[Discharge_Date]])</f>
        <v>2026</v>
      </c>
    </row>
    <row r="19" spans="1:18" x14ac:dyDescent="0.25">
      <c r="A19">
        <v>119</v>
      </c>
      <c r="B19">
        <v>60</v>
      </c>
      <c r="C19" t="s">
        <v>15</v>
      </c>
      <c r="D19" t="s">
        <v>59</v>
      </c>
      <c r="E19" t="s">
        <v>60</v>
      </c>
      <c r="F19" s="5">
        <v>46012</v>
      </c>
      <c r="G19" s="5">
        <v>46024</v>
      </c>
      <c r="H19" t="s">
        <v>73</v>
      </c>
      <c r="I19">
        <v>2025</v>
      </c>
      <c r="J19">
        <v>12</v>
      </c>
      <c r="K19" t="s">
        <v>19</v>
      </c>
      <c r="L19" t="s">
        <v>26</v>
      </c>
      <c r="M19">
        <v>4</v>
      </c>
      <c r="N19" t="s">
        <v>19</v>
      </c>
      <c r="O19">
        <v>4000</v>
      </c>
      <c r="P19" t="str" cm="1">
        <f t="array" ref="P19">_xlfn.IFS(Hospital_Patient[[#This Row],[Age]]&lt;=18,"Young",Hospital_Patient[[#This Row],[Age]]&lt;=36,"Adult",Hospital_Patient[[#This Row],[Age]]&lt;=60,"Middle Age",Hospital_Patient[[#This Row],[Age]]&gt;60,"Senior")</f>
        <v>Middle Age</v>
      </c>
      <c r="Q19" t="str" cm="1">
        <f t="array" ref="Q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9">
        <f>YEAR(Hospital_Patient[[#This Row],[Discharge_Date]])</f>
        <v>2026</v>
      </c>
    </row>
    <row r="20" spans="1:18" hidden="1" x14ac:dyDescent="0.25">
      <c r="A20">
        <v>602</v>
      </c>
      <c r="B20">
        <v>58</v>
      </c>
      <c r="C20" t="s">
        <v>22</v>
      </c>
      <c r="D20" t="s">
        <v>52</v>
      </c>
      <c r="E20" t="s">
        <v>53</v>
      </c>
      <c r="F20" s="5">
        <v>45974</v>
      </c>
      <c r="G20" s="5">
        <v>46023</v>
      </c>
      <c r="H20" t="s">
        <v>18</v>
      </c>
      <c r="I20">
        <v>2025</v>
      </c>
      <c r="J20">
        <v>49</v>
      </c>
      <c r="K20" t="s">
        <v>19</v>
      </c>
      <c r="L20" t="s">
        <v>20</v>
      </c>
      <c r="M20">
        <v>3</v>
      </c>
      <c r="N20" t="s">
        <v>19</v>
      </c>
      <c r="O20">
        <v>20000</v>
      </c>
      <c r="P20" t="str" cm="1">
        <f t="array" ref="P20">_xlfn.IFS(Hospital_Patient[[#This Row],[Age]]&lt;=18,"Young",Hospital_Patient[[#This Row],[Age]]&lt;=36,"Adult",Hospital_Patient[[#This Row],[Age]]&lt;=60,"Middle Age",Hospital_Patient[[#This Row],[Age]]&gt;60,"Senior")</f>
        <v>Middle Age</v>
      </c>
      <c r="Q20" t="str" cm="1">
        <f t="array" ref="Q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
        <f>YEAR(Hospital_Patient[[#This Row],[Discharge_Date]])</f>
        <v>2026</v>
      </c>
    </row>
    <row r="21" spans="1:18" x14ac:dyDescent="0.25">
      <c r="A21">
        <v>347</v>
      </c>
      <c r="B21">
        <v>60</v>
      </c>
      <c r="C21" t="s">
        <v>15</v>
      </c>
      <c r="D21" t="s">
        <v>39</v>
      </c>
      <c r="E21" t="s">
        <v>40</v>
      </c>
      <c r="F21" s="5">
        <v>45995</v>
      </c>
      <c r="G21" s="5">
        <v>46022</v>
      </c>
      <c r="H21" t="s">
        <v>69</v>
      </c>
      <c r="I21">
        <v>2025</v>
      </c>
      <c r="J21">
        <v>27</v>
      </c>
      <c r="K21" t="s">
        <v>21</v>
      </c>
      <c r="L21" t="s">
        <v>20</v>
      </c>
      <c r="M21">
        <v>3</v>
      </c>
      <c r="N21" t="s">
        <v>19</v>
      </c>
      <c r="O21">
        <v>8000</v>
      </c>
      <c r="P21" t="str" cm="1">
        <f t="array" ref="P21">_xlfn.IFS(Hospital_Patient[[#This Row],[Age]]&lt;=18,"Young",Hospital_Patient[[#This Row],[Age]]&lt;=36,"Adult",Hospital_Patient[[#This Row],[Age]]&lt;=60,"Middle Age",Hospital_Patient[[#This Row],[Age]]&gt;60,"Senior")</f>
        <v>Middle Age</v>
      </c>
      <c r="Q21" t="str" cm="1">
        <f t="array" ref="Q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1">
        <f>YEAR(Hospital_Patient[[#This Row],[Discharge_Date]])</f>
        <v>2025</v>
      </c>
    </row>
    <row r="22" spans="1:18" x14ac:dyDescent="0.25">
      <c r="A22">
        <v>743</v>
      </c>
      <c r="B22">
        <v>55</v>
      </c>
      <c r="C22" t="s">
        <v>15</v>
      </c>
      <c r="D22" t="s">
        <v>33</v>
      </c>
      <c r="E22" t="s">
        <v>34</v>
      </c>
      <c r="F22" s="5">
        <v>45962</v>
      </c>
      <c r="G22" s="5">
        <v>46022</v>
      </c>
      <c r="H22" t="s">
        <v>64</v>
      </c>
      <c r="I22">
        <v>2025</v>
      </c>
      <c r="J22">
        <v>60</v>
      </c>
      <c r="K22" t="s">
        <v>19</v>
      </c>
      <c r="L22" t="s">
        <v>20</v>
      </c>
      <c r="M22">
        <v>4</v>
      </c>
      <c r="N22" t="s">
        <v>19</v>
      </c>
      <c r="O22">
        <v>25000</v>
      </c>
      <c r="P22" t="str" cm="1">
        <f t="array" ref="P22">_xlfn.IFS(Hospital_Patient[[#This Row],[Age]]&lt;=18,"Young",Hospital_Patient[[#This Row],[Age]]&lt;=36,"Adult",Hospital_Patient[[#This Row],[Age]]&lt;=60,"Middle Age",Hospital_Patient[[#This Row],[Age]]&gt;60,"Senior")</f>
        <v>Middle Age</v>
      </c>
      <c r="Q22" t="str" cm="1">
        <f t="array" ref="Q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2">
        <f>YEAR(Hospital_Patient[[#This Row],[Discharge_Date]])</f>
        <v>2025</v>
      </c>
    </row>
    <row r="23" spans="1:18" x14ac:dyDescent="0.25">
      <c r="A23">
        <v>892</v>
      </c>
      <c r="B23">
        <v>45</v>
      </c>
      <c r="C23" t="s">
        <v>15</v>
      </c>
      <c r="D23" t="s">
        <v>39</v>
      </c>
      <c r="E23" t="s">
        <v>40</v>
      </c>
      <c r="F23" s="5">
        <v>45956</v>
      </c>
      <c r="G23" s="5">
        <v>46022</v>
      </c>
      <c r="H23" t="s">
        <v>72</v>
      </c>
      <c r="I23">
        <v>2025</v>
      </c>
      <c r="J23">
        <v>66</v>
      </c>
      <c r="K23" t="s">
        <v>19</v>
      </c>
      <c r="L23" t="s">
        <v>20</v>
      </c>
      <c r="M23">
        <v>3</v>
      </c>
      <c r="N23" t="s">
        <v>19</v>
      </c>
      <c r="O23">
        <v>8000</v>
      </c>
      <c r="P23" t="str" cm="1">
        <f t="array" ref="P23">_xlfn.IFS(Hospital_Patient[[#This Row],[Age]]&lt;=18,"Young",Hospital_Patient[[#This Row],[Age]]&lt;=36,"Adult",Hospital_Patient[[#This Row],[Age]]&lt;=60,"Middle Age",Hospital_Patient[[#This Row],[Age]]&gt;60,"Senior")</f>
        <v>Middle Age</v>
      </c>
      <c r="Q23" t="str" cm="1">
        <f t="array" ref="Q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3">
        <f>YEAR(Hospital_Patient[[#This Row],[Discharge_Date]])</f>
        <v>2025</v>
      </c>
    </row>
    <row r="24" spans="1:18" hidden="1" x14ac:dyDescent="0.25">
      <c r="A24">
        <v>708</v>
      </c>
      <c r="B24">
        <v>50</v>
      </c>
      <c r="C24" t="s">
        <v>22</v>
      </c>
      <c r="D24" t="s">
        <v>57</v>
      </c>
      <c r="E24" t="s">
        <v>58</v>
      </c>
      <c r="F24" s="5">
        <v>45970</v>
      </c>
      <c r="G24" s="5">
        <v>46021</v>
      </c>
      <c r="H24" t="s">
        <v>76</v>
      </c>
      <c r="I24">
        <v>2025</v>
      </c>
      <c r="J24">
        <v>51</v>
      </c>
      <c r="K24" t="s">
        <v>19</v>
      </c>
      <c r="L24" t="s">
        <v>20</v>
      </c>
      <c r="M24">
        <v>3</v>
      </c>
      <c r="N24" t="s">
        <v>21</v>
      </c>
      <c r="O24">
        <v>6000</v>
      </c>
      <c r="P24" t="str" cm="1">
        <f t="array" ref="P24">_xlfn.IFS(Hospital_Patient[[#This Row],[Age]]&lt;=18,"Young",Hospital_Patient[[#This Row],[Age]]&lt;=36,"Adult",Hospital_Patient[[#This Row],[Age]]&lt;=60,"Middle Age",Hospital_Patient[[#This Row],[Age]]&gt;60,"Senior")</f>
        <v>Middle Age</v>
      </c>
      <c r="Q24" t="str" cm="1">
        <f t="array" ref="Q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4">
        <f>YEAR(Hospital_Patient[[#This Row],[Discharge_Date]])</f>
        <v>2025</v>
      </c>
    </row>
    <row r="25" spans="1:18" x14ac:dyDescent="0.25">
      <c r="A25">
        <v>652</v>
      </c>
      <c r="B25">
        <v>30</v>
      </c>
      <c r="C25" t="s">
        <v>15</v>
      </c>
      <c r="D25" t="s">
        <v>27</v>
      </c>
      <c r="E25" t="s">
        <v>28</v>
      </c>
      <c r="F25" s="5">
        <v>45974</v>
      </c>
      <c r="G25" s="5">
        <v>46019</v>
      </c>
      <c r="H25" t="s">
        <v>29</v>
      </c>
      <c r="I25">
        <v>2025</v>
      </c>
      <c r="J25">
        <v>45</v>
      </c>
      <c r="K25" t="s">
        <v>19</v>
      </c>
      <c r="L25" t="s">
        <v>20</v>
      </c>
      <c r="M25">
        <v>5</v>
      </c>
      <c r="N25" t="s">
        <v>19</v>
      </c>
      <c r="O25">
        <v>500</v>
      </c>
      <c r="P25" t="str" cm="1">
        <f t="array" ref="P25">_xlfn.IFS(Hospital_Patient[[#This Row],[Age]]&lt;=18,"Young",Hospital_Patient[[#This Row],[Age]]&lt;=36,"Adult",Hospital_Patient[[#This Row],[Age]]&lt;=60,"Middle Age",Hospital_Patient[[#This Row],[Age]]&gt;60,"Senior")</f>
        <v>Adult</v>
      </c>
      <c r="Q25" t="str" cm="1">
        <f t="array" ref="Q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5">
        <f>YEAR(Hospital_Patient[[#This Row],[Discharge_Date]])</f>
        <v>2025</v>
      </c>
    </row>
    <row r="26" spans="1:18" hidden="1" x14ac:dyDescent="0.25">
      <c r="A26">
        <v>91</v>
      </c>
      <c r="B26">
        <v>65</v>
      </c>
      <c r="C26" t="s">
        <v>22</v>
      </c>
      <c r="D26" t="s">
        <v>23</v>
      </c>
      <c r="E26" t="s">
        <v>24</v>
      </c>
      <c r="F26" s="5">
        <v>46009</v>
      </c>
      <c r="G26" s="5">
        <v>46018</v>
      </c>
      <c r="H26" t="s">
        <v>18</v>
      </c>
      <c r="I26">
        <v>2025</v>
      </c>
      <c r="J26">
        <v>9</v>
      </c>
      <c r="K26" t="s">
        <v>19</v>
      </c>
      <c r="L26" t="s">
        <v>26</v>
      </c>
      <c r="M26">
        <v>3</v>
      </c>
      <c r="N26" t="s">
        <v>19</v>
      </c>
      <c r="O26">
        <v>2000</v>
      </c>
      <c r="P26" t="str" cm="1">
        <f t="array" ref="P26">_xlfn.IFS(Hospital_Patient[[#This Row],[Age]]&lt;=18,"Young",Hospital_Patient[[#This Row],[Age]]&lt;=36,"Adult",Hospital_Patient[[#This Row],[Age]]&lt;=60,"Middle Age",Hospital_Patient[[#This Row],[Age]]&gt;60,"Senior")</f>
        <v>Senior</v>
      </c>
      <c r="Q26" t="str" cm="1">
        <f t="array" ref="Q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6">
        <f>YEAR(Hospital_Patient[[#This Row],[Discharge_Date]])</f>
        <v>2025</v>
      </c>
    </row>
    <row r="27" spans="1:18" x14ac:dyDescent="0.25">
      <c r="A27">
        <v>138</v>
      </c>
      <c r="B27">
        <v>53</v>
      </c>
      <c r="C27" t="s">
        <v>15</v>
      </c>
      <c r="D27" t="s">
        <v>33</v>
      </c>
      <c r="E27" t="s">
        <v>34</v>
      </c>
      <c r="F27" s="5">
        <v>45999</v>
      </c>
      <c r="G27" s="5">
        <v>46018</v>
      </c>
      <c r="H27" t="s">
        <v>69</v>
      </c>
      <c r="I27">
        <v>2025</v>
      </c>
      <c r="J27">
        <v>19</v>
      </c>
      <c r="K27" t="s">
        <v>21</v>
      </c>
      <c r="L27" t="s">
        <v>20</v>
      </c>
      <c r="M27">
        <v>4</v>
      </c>
      <c r="N27" t="s">
        <v>19</v>
      </c>
      <c r="O27">
        <v>25000</v>
      </c>
      <c r="P27" t="str" cm="1">
        <f t="array" ref="P27">_xlfn.IFS(Hospital_Patient[[#This Row],[Age]]&lt;=18,"Young",Hospital_Patient[[#This Row],[Age]]&lt;=36,"Adult",Hospital_Patient[[#This Row],[Age]]&lt;=60,"Middle Age",Hospital_Patient[[#This Row],[Age]]&gt;60,"Senior")</f>
        <v>Middle Age</v>
      </c>
      <c r="Q27" t="str" cm="1">
        <f t="array" ref="Q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7">
        <f>YEAR(Hospital_Patient[[#This Row],[Discharge_Date]])</f>
        <v>2025</v>
      </c>
    </row>
    <row r="28" spans="1:18" hidden="1" x14ac:dyDescent="0.25">
      <c r="A28">
        <v>653</v>
      </c>
      <c r="B28">
        <v>70</v>
      </c>
      <c r="C28" t="s">
        <v>22</v>
      </c>
      <c r="D28" t="s">
        <v>30</v>
      </c>
      <c r="E28" t="s">
        <v>31</v>
      </c>
      <c r="F28" s="5">
        <v>45964</v>
      </c>
      <c r="G28" s="5">
        <v>46016</v>
      </c>
      <c r="H28" t="s">
        <v>32</v>
      </c>
      <c r="I28">
        <v>2025</v>
      </c>
      <c r="J28">
        <v>52</v>
      </c>
      <c r="K28" t="s">
        <v>21</v>
      </c>
      <c r="L28" t="s">
        <v>26</v>
      </c>
      <c r="M28">
        <v>2</v>
      </c>
      <c r="N28" t="s">
        <v>19</v>
      </c>
      <c r="O28">
        <v>10000</v>
      </c>
      <c r="P28" t="str" cm="1">
        <f t="array" ref="P28">_xlfn.IFS(Hospital_Patient[[#This Row],[Age]]&lt;=18,"Young",Hospital_Patient[[#This Row],[Age]]&lt;=36,"Adult",Hospital_Patient[[#This Row],[Age]]&lt;=60,"Middle Age",Hospital_Patient[[#This Row],[Age]]&gt;60,"Senior")</f>
        <v>Senior</v>
      </c>
      <c r="Q28" t="str" cm="1">
        <f t="array" ref="Q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
        <f>YEAR(Hospital_Patient[[#This Row],[Discharge_Date]])</f>
        <v>2025</v>
      </c>
    </row>
    <row r="29" spans="1:18" hidden="1" x14ac:dyDescent="0.25">
      <c r="A29">
        <v>379</v>
      </c>
      <c r="B29">
        <v>28</v>
      </c>
      <c r="C29" t="s">
        <v>22</v>
      </c>
      <c r="D29" t="s">
        <v>47</v>
      </c>
      <c r="E29" t="s">
        <v>48</v>
      </c>
      <c r="F29" s="5">
        <v>45988</v>
      </c>
      <c r="G29" s="5">
        <v>46014</v>
      </c>
      <c r="H29" t="s">
        <v>18</v>
      </c>
      <c r="I29">
        <v>2025</v>
      </c>
      <c r="J29">
        <v>26</v>
      </c>
      <c r="K29" t="s">
        <v>19</v>
      </c>
      <c r="L29" t="s">
        <v>20</v>
      </c>
      <c r="M29">
        <v>5</v>
      </c>
      <c r="N29" t="s">
        <v>21</v>
      </c>
      <c r="O29">
        <v>100</v>
      </c>
      <c r="P29" t="str" cm="1">
        <f t="array" ref="P29">_xlfn.IFS(Hospital_Patient[[#This Row],[Age]]&lt;=18,"Young",Hospital_Patient[[#This Row],[Age]]&lt;=36,"Adult",Hospital_Patient[[#This Row],[Age]]&lt;=60,"Middle Age",Hospital_Patient[[#This Row],[Age]]&gt;60,"Senior")</f>
        <v>Adult</v>
      </c>
      <c r="Q29" t="str" cm="1">
        <f t="array" ref="Q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9">
        <f>YEAR(Hospital_Patient[[#This Row],[Discharge_Date]])</f>
        <v>2025</v>
      </c>
    </row>
    <row r="30" spans="1:18" hidden="1" x14ac:dyDescent="0.25">
      <c r="A30">
        <v>451</v>
      </c>
      <c r="B30">
        <v>40</v>
      </c>
      <c r="C30" t="s">
        <v>22</v>
      </c>
      <c r="D30" t="s">
        <v>42</v>
      </c>
      <c r="E30" t="s">
        <v>43</v>
      </c>
      <c r="F30" s="5">
        <v>45978</v>
      </c>
      <c r="G30" s="5">
        <v>46014</v>
      </c>
      <c r="H30" t="s">
        <v>71</v>
      </c>
      <c r="I30">
        <v>2025</v>
      </c>
      <c r="J30">
        <v>36</v>
      </c>
      <c r="K30" t="s">
        <v>19</v>
      </c>
      <c r="L30" t="s">
        <v>20</v>
      </c>
      <c r="M30">
        <v>4</v>
      </c>
      <c r="N30" t="s">
        <v>19</v>
      </c>
      <c r="O30">
        <v>3000</v>
      </c>
      <c r="P30" t="str" cm="1">
        <f t="array" ref="P30">_xlfn.IFS(Hospital_Patient[[#This Row],[Age]]&lt;=18,"Young",Hospital_Patient[[#This Row],[Age]]&lt;=36,"Adult",Hospital_Patient[[#This Row],[Age]]&lt;=60,"Middle Age",Hospital_Patient[[#This Row],[Age]]&gt;60,"Senior")</f>
        <v>Middle Age</v>
      </c>
      <c r="Q30" t="str" cm="1">
        <f t="array" ref="Q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0">
        <f>YEAR(Hospital_Patient[[#This Row],[Discharge_Date]])</f>
        <v>2025</v>
      </c>
    </row>
    <row r="31" spans="1:18" x14ac:dyDescent="0.25">
      <c r="A31">
        <v>68</v>
      </c>
      <c r="B31">
        <v>78</v>
      </c>
      <c r="C31" t="s">
        <v>15</v>
      </c>
      <c r="D31" t="s">
        <v>45</v>
      </c>
      <c r="E31" t="s">
        <v>46</v>
      </c>
      <c r="F31" s="5">
        <v>46001</v>
      </c>
      <c r="G31" s="5">
        <v>46013</v>
      </c>
      <c r="H31" t="s">
        <v>65</v>
      </c>
      <c r="I31">
        <v>2025</v>
      </c>
      <c r="J31">
        <v>12</v>
      </c>
      <c r="K31" t="s">
        <v>21</v>
      </c>
      <c r="L31" t="s">
        <v>26</v>
      </c>
      <c r="M31">
        <v>2</v>
      </c>
      <c r="N31" t="s">
        <v>21</v>
      </c>
      <c r="O31">
        <v>18000</v>
      </c>
      <c r="P31" t="str" cm="1">
        <f t="array" ref="P31">_xlfn.IFS(Hospital_Patient[[#This Row],[Age]]&lt;=18,"Young",Hospital_Patient[[#This Row],[Age]]&lt;=36,"Adult",Hospital_Patient[[#This Row],[Age]]&lt;=60,"Middle Age",Hospital_Patient[[#This Row],[Age]]&gt;60,"Senior")</f>
        <v>Senior</v>
      </c>
      <c r="Q31" t="str" cm="1">
        <f t="array" ref="Q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1">
        <f>YEAR(Hospital_Patient[[#This Row],[Discharge_Date]])</f>
        <v>2025</v>
      </c>
    </row>
    <row r="32" spans="1:18" hidden="1" x14ac:dyDescent="0.25">
      <c r="A32">
        <v>82</v>
      </c>
      <c r="B32">
        <v>45</v>
      </c>
      <c r="C32" t="s">
        <v>22</v>
      </c>
      <c r="D32" t="s">
        <v>42</v>
      </c>
      <c r="E32" t="s">
        <v>43</v>
      </c>
      <c r="F32" s="5">
        <v>46001</v>
      </c>
      <c r="G32" s="5">
        <v>46012</v>
      </c>
      <c r="H32" t="s">
        <v>71</v>
      </c>
      <c r="I32">
        <v>2025</v>
      </c>
      <c r="J32">
        <v>11</v>
      </c>
      <c r="K32" t="s">
        <v>19</v>
      </c>
      <c r="L32" t="s">
        <v>20</v>
      </c>
      <c r="M32">
        <v>4</v>
      </c>
      <c r="N32" t="s">
        <v>19</v>
      </c>
      <c r="O32">
        <v>3000</v>
      </c>
      <c r="P32" t="str" cm="1">
        <f t="array" ref="P32">_xlfn.IFS(Hospital_Patient[[#This Row],[Age]]&lt;=18,"Young",Hospital_Patient[[#This Row],[Age]]&lt;=36,"Adult",Hospital_Patient[[#This Row],[Age]]&lt;=60,"Middle Age",Hospital_Patient[[#This Row],[Age]]&gt;60,"Senior")</f>
        <v>Middle Age</v>
      </c>
      <c r="Q32" t="str" cm="1">
        <f t="array" ref="Q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2">
        <f>YEAR(Hospital_Patient[[#This Row],[Discharge_Date]])</f>
        <v>2025</v>
      </c>
    </row>
    <row r="33" spans="1:18" x14ac:dyDescent="0.25">
      <c r="A33">
        <v>308</v>
      </c>
      <c r="B33">
        <v>32</v>
      </c>
      <c r="C33" t="s">
        <v>15</v>
      </c>
      <c r="D33" t="s">
        <v>54</v>
      </c>
      <c r="E33" t="s">
        <v>55</v>
      </c>
      <c r="F33" s="5">
        <v>45988</v>
      </c>
      <c r="G33" s="5">
        <v>46011</v>
      </c>
      <c r="H33" t="s">
        <v>74</v>
      </c>
      <c r="I33">
        <v>2025</v>
      </c>
      <c r="J33">
        <v>23</v>
      </c>
      <c r="K33" t="s">
        <v>19</v>
      </c>
      <c r="L33" t="s">
        <v>20</v>
      </c>
      <c r="M33">
        <v>4</v>
      </c>
      <c r="N33" t="s">
        <v>19</v>
      </c>
      <c r="O33">
        <v>12000</v>
      </c>
      <c r="P33" t="str" cm="1">
        <f t="array" ref="P33">_xlfn.IFS(Hospital_Patient[[#This Row],[Age]]&lt;=18,"Young",Hospital_Patient[[#This Row],[Age]]&lt;=36,"Adult",Hospital_Patient[[#This Row],[Age]]&lt;=60,"Middle Age",Hospital_Patient[[#This Row],[Age]]&gt;60,"Senior")</f>
        <v>Adult</v>
      </c>
      <c r="Q33" t="str" cm="1">
        <f t="array" ref="Q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3">
        <f>YEAR(Hospital_Patient[[#This Row],[Discharge_Date]])</f>
        <v>2025</v>
      </c>
    </row>
    <row r="34" spans="1:18" x14ac:dyDescent="0.25">
      <c r="A34">
        <v>601</v>
      </c>
      <c r="B34">
        <v>52</v>
      </c>
      <c r="C34" t="s">
        <v>15</v>
      </c>
      <c r="D34" t="s">
        <v>49</v>
      </c>
      <c r="E34" t="s">
        <v>50</v>
      </c>
      <c r="F34" s="5">
        <v>45969</v>
      </c>
      <c r="G34" s="5">
        <v>46011</v>
      </c>
      <c r="H34" t="s">
        <v>71</v>
      </c>
      <c r="I34">
        <v>2025</v>
      </c>
      <c r="J34">
        <v>42</v>
      </c>
      <c r="K34" t="s">
        <v>19</v>
      </c>
      <c r="L34" t="s">
        <v>26</v>
      </c>
      <c r="M34">
        <v>4</v>
      </c>
      <c r="N34" t="s">
        <v>19</v>
      </c>
      <c r="O34">
        <v>800</v>
      </c>
      <c r="P34" t="str" cm="1">
        <f t="array" ref="P34">_xlfn.IFS(Hospital_Patient[[#This Row],[Age]]&lt;=18,"Young",Hospital_Patient[[#This Row],[Age]]&lt;=36,"Adult",Hospital_Patient[[#This Row],[Age]]&lt;=60,"Middle Age",Hospital_Patient[[#This Row],[Age]]&gt;60,"Senior")</f>
        <v>Middle Age</v>
      </c>
      <c r="Q34" t="str" cm="1">
        <f t="array" ref="Q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
        <f>YEAR(Hospital_Patient[[#This Row],[Discharge_Date]])</f>
        <v>2025</v>
      </c>
    </row>
    <row r="35" spans="1:18" x14ac:dyDescent="0.25">
      <c r="A35">
        <v>876</v>
      </c>
      <c r="B35">
        <v>53</v>
      </c>
      <c r="C35" t="s">
        <v>15</v>
      </c>
      <c r="D35" t="s">
        <v>33</v>
      </c>
      <c r="E35" t="s">
        <v>34</v>
      </c>
      <c r="F35" s="5">
        <v>45942</v>
      </c>
      <c r="G35" s="5">
        <v>46011</v>
      </c>
      <c r="H35" t="s">
        <v>35</v>
      </c>
      <c r="I35">
        <v>2025</v>
      </c>
      <c r="J35">
        <v>69</v>
      </c>
      <c r="K35" t="s">
        <v>21</v>
      </c>
      <c r="L35" t="s">
        <v>20</v>
      </c>
      <c r="M35">
        <v>4</v>
      </c>
      <c r="N35" t="s">
        <v>21</v>
      </c>
      <c r="O35">
        <v>25000</v>
      </c>
      <c r="P35" t="str" cm="1">
        <f t="array" ref="P35">_xlfn.IFS(Hospital_Patient[[#This Row],[Age]]&lt;=18,"Young",Hospital_Patient[[#This Row],[Age]]&lt;=36,"Adult",Hospital_Patient[[#This Row],[Age]]&lt;=60,"Middle Age",Hospital_Patient[[#This Row],[Age]]&gt;60,"Senior")</f>
        <v>Middle Age</v>
      </c>
      <c r="Q35" t="str" cm="1">
        <f t="array" ref="Q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5">
        <f>YEAR(Hospital_Patient[[#This Row],[Discharge_Date]])</f>
        <v>2025</v>
      </c>
    </row>
    <row r="36" spans="1:18" x14ac:dyDescent="0.25">
      <c r="A36">
        <v>650</v>
      </c>
      <c r="B36">
        <v>60</v>
      </c>
      <c r="C36" t="s">
        <v>15</v>
      </c>
      <c r="D36" t="s">
        <v>59</v>
      </c>
      <c r="E36" t="s">
        <v>60</v>
      </c>
      <c r="F36" s="5">
        <v>45959</v>
      </c>
      <c r="G36" s="5">
        <v>46007</v>
      </c>
      <c r="H36" t="s">
        <v>75</v>
      </c>
      <c r="I36">
        <v>2025</v>
      </c>
      <c r="J36">
        <v>48</v>
      </c>
      <c r="K36" t="s">
        <v>19</v>
      </c>
      <c r="L36" t="s">
        <v>26</v>
      </c>
      <c r="M36">
        <v>4</v>
      </c>
      <c r="N36" t="s">
        <v>21</v>
      </c>
      <c r="O36">
        <v>4000</v>
      </c>
      <c r="P36" t="str" cm="1">
        <f t="array" ref="P36">_xlfn.IFS(Hospital_Patient[[#This Row],[Age]]&lt;=18,"Young",Hospital_Patient[[#This Row],[Age]]&lt;=36,"Adult",Hospital_Patient[[#This Row],[Age]]&lt;=60,"Middle Age",Hospital_Patient[[#This Row],[Age]]&gt;60,"Senior")</f>
        <v>Middle Age</v>
      </c>
      <c r="Q36" t="str" cm="1">
        <f t="array" ref="Q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
        <f>YEAR(Hospital_Patient[[#This Row],[Discharge_Date]])</f>
        <v>2025</v>
      </c>
    </row>
    <row r="37" spans="1:18" x14ac:dyDescent="0.25">
      <c r="A37">
        <v>675</v>
      </c>
      <c r="B37">
        <v>52</v>
      </c>
      <c r="C37" t="s">
        <v>15</v>
      </c>
      <c r="D37" t="s">
        <v>49</v>
      </c>
      <c r="E37" t="s">
        <v>50</v>
      </c>
      <c r="F37" s="5">
        <v>45959</v>
      </c>
      <c r="G37" s="5">
        <v>46006</v>
      </c>
      <c r="H37" t="s">
        <v>66</v>
      </c>
      <c r="I37">
        <v>2025</v>
      </c>
      <c r="J37">
        <v>47</v>
      </c>
      <c r="K37" t="s">
        <v>19</v>
      </c>
      <c r="L37" t="s">
        <v>26</v>
      </c>
      <c r="M37">
        <v>4</v>
      </c>
      <c r="N37" t="s">
        <v>21</v>
      </c>
      <c r="O37">
        <v>800</v>
      </c>
      <c r="P37" t="str" cm="1">
        <f t="array" ref="P37">_xlfn.IFS(Hospital_Patient[[#This Row],[Age]]&lt;=18,"Young",Hospital_Patient[[#This Row],[Age]]&lt;=36,"Adult",Hospital_Patient[[#This Row],[Age]]&lt;=60,"Middle Age",Hospital_Patient[[#This Row],[Age]]&gt;60,"Senior")</f>
        <v>Middle Age</v>
      </c>
      <c r="Q37" t="str" cm="1">
        <f t="array" ref="Q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
        <f>YEAR(Hospital_Patient[[#This Row],[Discharge_Date]])</f>
        <v>2025</v>
      </c>
    </row>
    <row r="38" spans="1:18" x14ac:dyDescent="0.25">
      <c r="A38">
        <v>75</v>
      </c>
      <c r="B38">
        <v>55</v>
      </c>
      <c r="C38" t="s">
        <v>15</v>
      </c>
      <c r="D38" t="s">
        <v>16</v>
      </c>
      <c r="E38" t="s">
        <v>17</v>
      </c>
      <c r="F38" s="5">
        <v>45995</v>
      </c>
      <c r="G38" s="5">
        <v>46005</v>
      </c>
      <c r="H38" t="s">
        <v>18</v>
      </c>
      <c r="I38">
        <v>2025</v>
      </c>
      <c r="J38">
        <v>10</v>
      </c>
      <c r="K38" t="s">
        <v>21</v>
      </c>
      <c r="L38" t="s">
        <v>20</v>
      </c>
      <c r="M38">
        <v>3</v>
      </c>
      <c r="N38" t="s">
        <v>19</v>
      </c>
      <c r="O38">
        <v>15000</v>
      </c>
      <c r="P38" t="str" cm="1">
        <f t="array" ref="P38">_xlfn.IFS(Hospital_Patient[[#This Row],[Age]]&lt;=18,"Young",Hospital_Patient[[#This Row],[Age]]&lt;=36,"Adult",Hospital_Patient[[#This Row],[Age]]&lt;=60,"Middle Age",Hospital_Patient[[#This Row],[Age]]&gt;60,"Senior")</f>
        <v>Middle Age</v>
      </c>
      <c r="Q38" t="str" cm="1">
        <f t="array" ref="Q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8">
        <f>YEAR(Hospital_Patient[[#This Row],[Discharge_Date]])</f>
        <v>2025</v>
      </c>
    </row>
    <row r="39" spans="1:18" x14ac:dyDescent="0.25">
      <c r="A39">
        <v>426</v>
      </c>
      <c r="B39">
        <v>32</v>
      </c>
      <c r="C39" t="s">
        <v>15</v>
      </c>
      <c r="D39" t="s">
        <v>54</v>
      </c>
      <c r="E39" t="s">
        <v>55</v>
      </c>
      <c r="F39" s="5">
        <v>45973</v>
      </c>
      <c r="G39" s="5">
        <v>46004</v>
      </c>
      <c r="H39" t="s">
        <v>74</v>
      </c>
      <c r="I39">
        <v>2025</v>
      </c>
      <c r="J39">
        <v>31</v>
      </c>
      <c r="K39" t="s">
        <v>19</v>
      </c>
      <c r="L39" t="s">
        <v>20</v>
      </c>
      <c r="M39">
        <v>4</v>
      </c>
      <c r="N39" t="s">
        <v>21</v>
      </c>
      <c r="O39">
        <v>12000</v>
      </c>
      <c r="P39" t="str" cm="1">
        <f t="array" ref="P39">_xlfn.IFS(Hospital_Patient[[#This Row],[Age]]&lt;=18,"Young",Hospital_Patient[[#This Row],[Age]]&lt;=36,"Adult",Hospital_Patient[[#This Row],[Age]]&lt;=60,"Middle Age",Hospital_Patient[[#This Row],[Age]]&gt;60,"Senior")</f>
        <v>Adult</v>
      </c>
      <c r="Q39" t="str" cm="1">
        <f t="array" ref="Q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9">
        <f>YEAR(Hospital_Patient[[#This Row],[Discharge_Date]])</f>
        <v>2025</v>
      </c>
    </row>
    <row r="40" spans="1:18" x14ac:dyDescent="0.25">
      <c r="A40">
        <v>646</v>
      </c>
      <c r="B40">
        <v>52</v>
      </c>
      <c r="C40" t="s">
        <v>15</v>
      </c>
      <c r="D40" t="s">
        <v>49</v>
      </c>
      <c r="E40" t="s">
        <v>50</v>
      </c>
      <c r="F40" s="5">
        <v>45957</v>
      </c>
      <c r="G40" s="5">
        <v>46002</v>
      </c>
      <c r="H40" t="s">
        <v>71</v>
      </c>
      <c r="I40">
        <v>2025</v>
      </c>
      <c r="J40">
        <v>45</v>
      </c>
      <c r="K40" t="s">
        <v>19</v>
      </c>
      <c r="L40" t="s">
        <v>26</v>
      </c>
      <c r="M40">
        <v>4</v>
      </c>
      <c r="N40" t="s">
        <v>21</v>
      </c>
      <c r="O40">
        <v>800</v>
      </c>
      <c r="P40" t="str" cm="1">
        <f t="array" ref="P40">_xlfn.IFS(Hospital_Patient[[#This Row],[Age]]&lt;=18,"Young",Hospital_Patient[[#This Row],[Age]]&lt;=36,"Adult",Hospital_Patient[[#This Row],[Age]]&lt;=60,"Middle Age",Hospital_Patient[[#This Row],[Age]]&gt;60,"Senior")</f>
        <v>Middle Age</v>
      </c>
      <c r="Q40" t="str" cm="1">
        <f t="array" ref="Q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
        <f>YEAR(Hospital_Patient[[#This Row],[Discharge_Date]])</f>
        <v>2025</v>
      </c>
    </row>
    <row r="41" spans="1:18" x14ac:dyDescent="0.25">
      <c r="A41">
        <v>587</v>
      </c>
      <c r="B41">
        <v>52</v>
      </c>
      <c r="C41" t="s">
        <v>15</v>
      </c>
      <c r="D41" t="s">
        <v>49</v>
      </c>
      <c r="E41" t="s">
        <v>50</v>
      </c>
      <c r="F41" s="5">
        <v>45953</v>
      </c>
      <c r="G41" s="5">
        <v>45994</v>
      </c>
      <c r="H41" t="s">
        <v>66</v>
      </c>
      <c r="I41">
        <v>2025</v>
      </c>
      <c r="J41">
        <v>41</v>
      </c>
      <c r="K41" t="s">
        <v>19</v>
      </c>
      <c r="L41" t="s">
        <v>26</v>
      </c>
      <c r="M41">
        <v>4</v>
      </c>
      <c r="N41" t="s">
        <v>21</v>
      </c>
      <c r="O41">
        <v>800</v>
      </c>
      <c r="P41" t="str" cm="1">
        <f t="array" ref="P41">_xlfn.IFS(Hospital_Patient[[#This Row],[Age]]&lt;=18,"Young",Hospital_Patient[[#This Row],[Age]]&lt;=36,"Adult",Hospital_Patient[[#This Row],[Age]]&lt;=60,"Middle Age",Hospital_Patient[[#This Row],[Age]]&gt;60,"Senior")</f>
        <v>Middle Age</v>
      </c>
      <c r="Q41" t="str" cm="1">
        <f t="array" ref="Q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
        <f>YEAR(Hospital_Patient[[#This Row],[Discharge_Date]])</f>
        <v>2025</v>
      </c>
    </row>
    <row r="42" spans="1:18" hidden="1" x14ac:dyDescent="0.25">
      <c r="A42">
        <v>139</v>
      </c>
      <c r="B42">
        <v>72</v>
      </c>
      <c r="C42" t="s">
        <v>22</v>
      </c>
      <c r="D42" t="s">
        <v>36</v>
      </c>
      <c r="E42" t="s">
        <v>37</v>
      </c>
      <c r="F42" s="5">
        <v>45980</v>
      </c>
      <c r="G42" s="5">
        <v>45991</v>
      </c>
      <c r="H42" t="s">
        <v>25</v>
      </c>
      <c r="I42">
        <v>2025</v>
      </c>
      <c r="J42">
        <v>11</v>
      </c>
      <c r="K42" t="s">
        <v>19</v>
      </c>
      <c r="L42" t="s">
        <v>26</v>
      </c>
      <c r="M42">
        <v>4</v>
      </c>
      <c r="N42" t="s">
        <v>21</v>
      </c>
      <c r="O42">
        <v>1000</v>
      </c>
      <c r="P42" t="str" cm="1">
        <f t="array" ref="P42">_xlfn.IFS(Hospital_Patient[[#This Row],[Age]]&lt;=18,"Young",Hospital_Patient[[#This Row],[Age]]&lt;=36,"Adult",Hospital_Patient[[#This Row],[Age]]&lt;=60,"Middle Age",Hospital_Patient[[#This Row],[Age]]&gt;60,"Senior")</f>
        <v>Senior</v>
      </c>
      <c r="Q42" t="str" cm="1">
        <f t="array" ref="Q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2">
        <f>YEAR(Hospital_Patient[[#This Row],[Discharge_Date]])</f>
        <v>2025</v>
      </c>
    </row>
    <row r="43" spans="1:18" x14ac:dyDescent="0.25">
      <c r="A43">
        <v>296</v>
      </c>
      <c r="B43">
        <v>48</v>
      </c>
      <c r="C43" t="s">
        <v>15</v>
      </c>
      <c r="D43" t="s">
        <v>16</v>
      </c>
      <c r="E43" t="s">
        <v>17</v>
      </c>
      <c r="F43" s="5">
        <v>45965</v>
      </c>
      <c r="G43" s="5">
        <v>45990</v>
      </c>
      <c r="H43" t="s">
        <v>69</v>
      </c>
      <c r="I43">
        <v>2025</v>
      </c>
      <c r="J43">
        <v>25</v>
      </c>
      <c r="K43" t="s">
        <v>21</v>
      </c>
      <c r="L43" t="s">
        <v>20</v>
      </c>
      <c r="M43">
        <v>4</v>
      </c>
      <c r="N43" t="s">
        <v>21</v>
      </c>
      <c r="O43">
        <v>15000</v>
      </c>
      <c r="P43" t="str" cm="1">
        <f t="array" ref="P43">_xlfn.IFS(Hospital_Patient[[#This Row],[Age]]&lt;=18,"Young",Hospital_Patient[[#This Row],[Age]]&lt;=36,"Adult",Hospital_Patient[[#This Row],[Age]]&lt;=60,"Middle Age",Hospital_Patient[[#This Row],[Age]]&gt;60,"Senior")</f>
        <v>Middle Age</v>
      </c>
      <c r="Q43" t="str" cm="1">
        <f t="array" ref="Q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3">
        <f>YEAR(Hospital_Patient[[#This Row],[Discharge_Date]])</f>
        <v>2025</v>
      </c>
    </row>
    <row r="44" spans="1:18" hidden="1" x14ac:dyDescent="0.25">
      <c r="A44">
        <v>236</v>
      </c>
      <c r="B44">
        <v>50</v>
      </c>
      <c r="C44" t="s">
        <v>22</v>
      </c>
      <c r="D44" t="s">
        <v>57</v>
      </c>
      <c r="E44" t="s">
        <v>58</v>
      </c>
      <c r="F44" s="5">
        <v>45970</v>
      </c>
      <c r="G44" s="5">
        <v>45989</v>
      </c>
      <c r="H44" t="s">
        <v>51</v>
      </c>
      <c r="I44">
        <v>2025</v>
      </c>
      <c r="J44">
        <v>19</v>
      </c>
      <c r="K44" t="s">
        <v>19</v>
      </c>
      <c r="L44" t="s">
        <v>20</v>
      </c>
      <c r="M44">
        <v>3</v>
      </c>
      <c r="N44" t="s">
        <v>21</v>
      </c>
      <c r="O44">
        <v>6000</v>
      </c>
      <c r="P44" t="str" cm="1">
        <f t="array" ref="P44">_xlfn.IFS(Hospital_Patient[[#This Row],[Age]]&lt;=18,"Young",Hospital_Patient[[#This Row],[Age]]&lt;=36,"Adult",Hospital_Patient[[#This Row],[Age]]&lt;=60,"Middle Age",Hospital_Patient[[#This Row],[Age]]&gt;60,"Senior")</f>
        <v>Middle Age</v>
      </c>
      <c r="Q44" t="str" cm="1">
        <f t="array" ref="Q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4">
        <f>YEAR(Hospital_Patient[[#This Row],[Discharge_Date]])</f>
        <v>2025</v>
      </c>
    </row>
    <row r="45" spans="1:18" hidden="1" x14ac:dyDescent="0.25">
      <c r="A45">
        <v>394</v>
      </c>
      <c r="B45">
        <v>25</v>
      </c>
      <c r="C45" t="s">
        <v>22</v>
      </c>
      <c r="D45" t="s">
        <v>47</v>
      </c>
      <c r="E45" t="s">
        <v>48</v>
      </c>
      <c r="F45" s="5">
        <v>45962</v>
      </c>
      <c r="G45" s="5">
        <v>45989</v>
      </c>
      <c r="H45" t="s">
        <v>74</v>
      </c>
      <c r="I45">
        <v>2025</v>
      </c>
      <c r="J45">
        <v>27</v>
      </c>
      <c r="K45" t="s">
        <v>19</v>
      </c>
      <c r="L45" t="s">
        <v>20</v>
      </c>
      <c r="M45">
        <v>5</v>
      </c>
      <c r="N45" t="s">
        <v>19</v>
      </c>
      <c r="O45">
        <v>100</v>
      </c>
      <c r="P45" t="str" cm="1">
        <f t="array" ref="P45">_xlfn.IFS(Hospital_Patient[[#This Row],[Age]]&lt;=18,"Young",Hospital_Patient[[#This Row],[Age]]&lt;=36,"Adult",Hospital_Patient[[#This Row],[Age]]&lt;=60,"Middle Age",Hospital_Patient[[#This Row],[Age]]&gt;60,"Senior")</f>
        <v>Adult</v>
      </c>
      <c r="Q45" t="str" cm="1">
        <f t="array" ref="Q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5">
        <f>YEAR(Hospital_Patient[[#This Row],[Discharge_Date]])</f>
        <v>2025</v>
      </c>
    </row>
    <row r="46" spans="1:18" x14ac:dyDescent="0.25">
      <c r="A46">
        <v>751</v>
      </c>
      <c r="B46">
        <v>32</v>
      </c>
      <c r="C46" t="s">
        <v>15</v>
      </c>
      <c r="D46" t="s">
        <v>54</v>
      </c>
      <c r="E46" t="s">
        <v>55</v>
      </c>
      <c r="F46" s="5">
        <v>45936</v>
      </c>
      <c r="G46" s="5">
        <v>45989</v>
      </c>
      <c r="H46" t="s">
        <v>68</v>
      </c>
      <c r="I46">
        <v>2025</v>
      </c>
      <c r="J46">
        <v>53</v>
      </c>
      <c r="K46" t="s">
        <v>19</v>
      </c>
      <c r="L46" t="s">
        <v>20</v>
      </c>
      <c r="M46">
        <v>4</v>
      </c>
      <c r="N46" t="s">
        <v>19</v>
      </c>
      <c r="O46">
        <v>12000</v>
      </c>
      <c r="P46" t="str" cm="1">
        <f t="array" ref="P46">_xlfn.IFS(Hospital_Patient[[#This Row],[Age]]&lt;=18,"Young",Hospital_Patient[[#This Row],[Age]]&lt;=36,"Adult",Hospital_Patient[[#This Row],[Age]]&lt;=60,"Middle Age",Hospital_Patient[[#This Row],[Age]]&gt;60,"Senior")</f>
        <v>Adult</v>
      </c>
      <c r="Q46" t="str" cm="1">
        <f t="array" ref="Q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
        <f>YEAR(Hospital_Patient[[#This Row],[Discharge_Date]])</f>
        <v>2025</v>
      </c>
    </row>
    <row r="47" spans="1:18" x14ac:dyDescent="0.25">
      <c r="A47">
        <v>844</v>
      </c>
      <c r="B47">
        <v>35</v>
      </c>
      <c r="C47" t="s">
        <v>15</v>
      </c>
      <c r="D47" t="s">
        <v>27</v>
      </c>
      <c r="E47" t="s">
        <v>28</v>
      </c>
      <c r="F47" s="5">
        <v>45931</v>
      </c>
      <c r="G47" s="5">
        <v>45989</v>
      </c>
      <c r="H47" t="s">
        <v>77</v>
      </c>
      <c r="I47">
        <v>2025</v>
      </c>
      <c r="J47">
        <v>58</v>
      </c>
      <c r="K47" t="s">
        <v>21</v>
      </c>
      <c r="L47" t="s">
        <v>20</v>
      </c>
      <c r="M47">
        <v>5</v>
      </c>
      <c r="N47" t="s">
        <v>19</v>
      </c>
      <c r="O47">
        <v>500</v>
      </c>
      <c r="P47" t="str" cm="1">
        <f t="array" ref="P47">_xlfn.IFS(Hospital_Patient[[#This Row],[Age]]&lt;=18,"Young",Hospital_Patient[[#This Row],[Age]]&lt;=36,"Adult",Hospital_Patient[[#This Row],[Age]]&lt;=60,"Middle Age",Hospital_Patient[[#This Row],[Age]]&gt;60,"Senior")</f>
        <v>Adult</v>
      </c>
      <c r="Q47" t="str" cm="1">
        <f t="array" ref="Q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
        <f>YEAR(Hospital_Patient[[#This Row],[Discharge_Date]])</f>
        <v>2025</v>
      </c>
    </row>
    <row r="48" spans="1:18" x14ac:dyDescent="0.25">
      <c r="A48">
        <v>459</v>
      </c>
      <c r="B48">
        <v>55</v>
      </c>
      <c r="C48" t="s">
        <v>15</v>
      </c>
      <c r="D48" t="s">
        <v>16</v>
      </c>
      <c r="E48" t="s">
        <v>17</v>
      </c>
      <c r="F48" s="5">
        <v>45952</v>
      </c>
      <c r="G48" s="5">
        <v>45988</v>
      </c>
      <c r="H48" t="s">
        <v>18</v>
      </c>
      <c r="I48">
        <v>2025</v>
      </c>
      <c r="J48">
        <v>36</v>
      </c>
      <c r="K48" t="s">
        <v>21</v>
      </c>
      <c r="L48" t="s">
        <v>20</v>
      </c>
      <c r="M48">
        <v>3</v>
      </c>
      <c r="N48" t="s">
        <v>19</v>
      </c>
      <c r="O48">
        <v>15000</v>
      </c>
      <c r="P48" t="str" cm="1">
        <f t="array" ref="P48">_xlfn.IFS(Hospital_Patient[[#This Row],[Age]]&lt;=18,"Young",Hospital_Patient[[#This Row],[Age]]&lt;=36,"Adult",Hospital_Patient[[#This Row],[Age]]&lt;=60,"Middle Age",Hospital_Patient[[#This Row],[Age]]&gt;60,"Senior")</f>
        <v>Middle Age</v>
      </c>
      <c r="Q48" t="str" cm="1">
        <f t="array" ref="Q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8">
        <f>YEAR(Hospital_Patient[[#This Row],[Discharge_Date]])</f>
        <v>2025</v>
      </c>
    </row>
    <row r="49" spans="1:18" x14ac:dyDescent="0.25">
      <c r="A49">
        <v>488</v>
      </c>
      <c r="B49">
        <v>55</v>
      </c>
      <c r="C49" t="s">
        <v>15</v>
      </c>
      <c r="D49" t="s">
        <v>16</v>
      </c>
      <c r="E49" t="s">
        <v>17</v>
      </c>
      <c r="F49" s="5">
        <v>45948</v>
      </c>
      <c r="G49" s="5">
        <v>45986</v>
      </c>
      <c r="H49" t="s">
        <v>73</v>
      </c>
      <c r="I49">
        <v>2025</v>
      </c>
      <c r="J49">
        <v>38</v>
      </c>
      <c r="K49" t="s">
        <v>21</v>
      </c>
      <c r="L49" t="s">
        <v>20</v>
      </c>
      <c r="M49">
        <v>3</v>
      </c>
      <c r="N49" t="s">
        <v>21</v>
      </c>
      <c r="O49">
        <v>15000</v>
      </c>
      <c r="P49" t="str" cm="1">
        <f t="array" ref="P49">_xlfn.IFS(Hospital_Patient[[#This Row],[Age]]&lt;=18,"Young",Hospital_Patient[[#This Row],[Age]]&lt;=36,"Adult",Hospital_Patient[[#This Row],[Age]]&lt;=60,"Middle Age",Hospital_Patient[[#This Row],[Age]]&gt;60,"Senior")</f>
        <v>Middle Age</v>
      </c>
      <c r="Q49" t="str" cm="1">
        <f t="array" ref="Q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9">
        <f>YEAR(Hospital_Patient[[#This Row],[Discharge_Date]])</f>
        <v>2025</v>
      </c>
    </row>
    <row r="50" spans="1:18" hidden="1" x14ac:dyDescent="0.25">
      <c r="A50">
        <v>116</v>
      </c>
      <c r="B50">
        <v>67</v>
      </c>
      <c r="C50" t="s">
        <v>22</v>
      </c>
      <c r="D50" t="s">
        <v>52</v>
      </c>
      <c r="E50" t="s">
        <v>53</v>
      </c>
      <c r="F50" s="5">
        <v>45969</v>
      </c>
      <c r="G50" s="5">
        <v>45985</v>
      </c>
      <c r="H50" t="s">
        <v>67</v>
      </c>
      <c r="I50">
        <v>2025</v>
      </c>
      <c r="J50">
        <v>16</v>
      </c>
      <c r="K50" t="s">
        <v>19</v>
      </c>
      <c r="L50" t="s">
        <v>20</v>
      </c>
      <c r="M50">
        <v>3</v>
      </c>
      <c r="N50" t="s">
        <v>19</v>
      </c>
      <c r="O50">
        <v>20000</v>
      </c>
      <c r="P50" t="str" cm="1">
        <f t="array" ref="P50">_xlfn.IFS(Hospital_Patient[[#This Row],[Age]]&lt;=18,"Young",Hospital_Patient[[#This Row],[Age]]&lt;=36,"Adult",Hospital_Patient[[#This Row],[Age]]&lt;=60,"Middle Age",Hospital_Patient[[#This Row],[Age]]&gt;60,"Senior")</f>
        <v>Senior</v>
      </c>
      <c r="Q50" t="str" cm="1">
        <f t="array" ref="Q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0">
        <f>YEAR(Hospital_Patient[[#This Row],[Discharge_Date]])</f>
        <v>2025</v>
      </c>
    </row>
    <row r="51" spans="1:18" x14ac:dyDescent="0.25">
      <c r="A51">
        <v>636</v>
      </c>
      <c r="B51">
        <v>55</v>
      </c>
      <c r="C51" t="s">
        <v>15</v>
      </c>
      <c r="D51" t="s">
        <v>16</v>
      </c>
      <c r="E51" t="s">
        <v>17</v>
      </c>
      <c r="F51" s="5">
        <v>45931</v>
      </c>
      <c r="G51" s="5">
        <v>45979</v>
      </c>
      <c r="H51" t="s">
        <v>18</v>
      </c>
      <c r="I51">
        <v>2025</v>
      </c>
      <c r="J51">
        <v>48</v>
      </c>
      <c r="K51" t="s">
        <v>21</v>
      </c>
      <c r="L51" t="s">
        <v>20</v>
      </c>
      <c r="M51">
        <v>3</v>
      </c>
      <c r="N51" t="s">
        <v>21</v>
      </c>
      <c r="O51">
        <v>15000</v>
      </c>
      <c r="P51" t="str" cm="1">
        <f t="array" ref="P51">_xlfn.IFS(Hospital_Patient[[#This Row],[Age]]&lt;=18,"Young",Hospital_Patient[[#This Row],[Age]]&lt;=36,"Adult",Hospital_Patient[[#This Row],[Age]]&lt;=60,"Middle Age",Hospital_Patient[[#This Row],[Age]]&gt;60,"Senior")</f>
        <v>Middle Age</v>
      </c>
      <c r="Q51" t="str" cm="1">
        <f t="array" ref="Q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
        <f>YEAR(Hospital_Patient[[#This Row],[Discharge_Date]])</f>
        <v>2025</v>
      </c>
    </row>
    <row r="52" spans="1:18" hidden="1" x14ac:dyDescent="0.25">
      <c r="A52">
        <v>799</v>
      </c>
      <c r="B52">
        <v>65</v>
      </c>
      <c r="C52" t="s">
        <v>22</v>
      </c>
      <c r="D52" t="s">
        <v>23</v>
      </c>
      <c r="E52" t="s">
        <v>24</v>
      </c>
      <c r="F52" s="5">
        <v>45921</v>
      </c>
      <c r="G52" s="5">
        <v>45978</v>
      </c>
      <c r="H52" t="s">
        <v>25</v>
      </c>
      <c r="I52">
        <v>2025</v>
      </c>
      <c r="J52">
        <v>57</v>
      </c>
      <c r="K52" t="s">
        <v>19</v>
      </c>
      <c r="L52" t="s">
        <v>26</v>
      </c>
      <c r="M52">
        <v>3</v>
      </c>
      <c r="N52" t="s">
        <v>21</v>
      </c>
      <c r="O52">
        <v>2000</v>
      </c>
      <c r="P52" t="str" cm="1">
        <f t="array" ref="P52">_xlfn.IFS(Hospital_Patient[[#This Row],[Age]]&lt;=18,"Young",Hospital_Patient[[#This Row],[Age]]&lt;=36,"Adult",Hospital_Patient[[#This Row],[Age]]&lt;=60,"Middle Age",Hospital_Patient[[#This Row],[Age]]&gt;60,"Senior")</f>
        <v>Senior</v>
      </c>
      <c r="Q52" t="str" cm="1">
        <f t="array" ref="Q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2">
        <f>YEAR(Hospital_Patient[[#This Row],[Discharge_Date]])</f>
        <v>2025</v>
      </c>
    </row>
    <row r="53" spans="1:18" hidden="1" x14ac:dyDescent="0.25">
      <c r="A53">
        <v>888</v>
      </c>
      <c r="B53">
        <v>65</v>
      </c>
      <c r="C53" t="s">
        <v>22</v>
      </c>
      <c r="D53" t="s">
        <v>23</v>
      </c>
      <c r="E53" t="s">
        <v>24</v>
      </c>
      <c r="F53" s="5">
        <v>45914</v>
      </c>
      <c r="G53" s="5">
        <v>45977</v>
      </c>
      <c r="H53" t="s">
        <v>25</v>
      </c>
      <c r="I53">
        <v>2025</v>
      </c>
      <c r="J53">
        <v>63</v>
      </c>
      <c r="K53" t="s">
        <v>19</v>
      </c>
      <c r="L53" t="s">
        <v>26</v>
      </c>
      <c r="M53">
        <v>3</v>
      </c>
      <c r="N53" t="s">
        <v>19</v>
      </c>
      <c r="O53">
        <v>2000</v>
      </c>
      <c r="P53" t="str" cm="1">
        <f t="array" ref="P53">_xlfn.IFS(Hospital_Patient[[#This Row],[Age]]&lt;=18,"Young",Hospital_Patient[[#This Row],[Age]]&lt;=36,"Adult",Hospital_Patient[[#This Row],[Age]]&lt;=60,"Middle Age",Hospital_Patient[[#This Row],[Age]]&gt;60,"Senior")</f>
        <v>Senior</v>
      </c>
      <c r="Q53" t="str" cm="1">
        <f t="array" ref="Q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3">
        <f>YEAR(Hospital_Patient[[#This Row],[Discharge_Date]])</f>
        <v>2025</v>
      </c>
    </row>
    <row r="54" spans="1:18" x14ac:dyDescent="0.25">
      <c r="A54">
        <v>861</v>
      </c>
      <c r="B54">
        <v>55</v>
      </c>
      <c r="C54" t="s">
        <v>15</v>
      </c>
      <c r="D54" t="s">
        <v>33</v>
      </c>
      <c r="E54" t="s">
        <v>34</v>
      </c>
      <c r="F54" s="5">
        <v>45909</v>
      </c>
      <c r="G54" s="5">
        <v>45977</v>
      </c>
      <c r="H54" t="s">
        <v>64</v>
      </c>
      <c r="I54">
        <v>2025</v>
      </c>
      <c r="J54">
        <v>68</v>
      </c>
      <c r="K54" t="s">
        <v>19</v>
      </c>
      <c r="L54" t="s">
        <v>20</v>
      </c>
      <c r="M54">
        <v>4</v>
      </c>
      <c r="N54" t="s">
        <v>19</v>
      </c>
      <c r="O54">
        <v>25000</v>
      </c>
      <c r="P54" t="str" cm="1">
        <f t="array" ref="P54">_xlfn.IFS(Hospital_Patient[[#This Row],[Age]]&lt;=18,"Young",Hospital_Patient[[#This Row],[Age]]&lt;=36,"Adult",Hospital_Patient[[#This Row],[Age]]&lt;=60,"Middle Age",Hospital_Patient[[#This Row],[Age]]&gt;60,"Senior")</f>
        <v>Middle Age</v>
      </c>
      <c r="Q54" t="str" cm="1">
        <f t="array" ref="Q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4">
        <f>YEAR(Hospital_Patient[[#This Row],[Discharge_Date]])</f>
        <v>2025</v>
      </c>
    </row>
    <row r="55" spans="1:18" hidden="1" x14ac:dyDescent="0.25">
      <c r="A55">
        <v>299</v>
      </c>
      <c r="B55">
        <v>70</v>
      </c>
      <c r="C55" t="s">
        <v>22</v>
      </c>
      <c r="D55" t="s">
        <v>30</v>
      </c>
      <c r="E55" t="s">
        <v>31</v>
      </c>
      <c r="F55" s="5">
        <v>45949</v>
      </c>
      <c r="G55" s="5">
        <v>45976</v>
      </c>
      <c r="H55" t="s">
        <v>67</v>
      </c>
      <c r="I55">
        <v>2025</v>
      </c>
      <c r="J55">
        <v>27</v>
      </c>
      <c r="K55" t="s">
        <v>21</v>
      </c>
      <c r="L55" t="s">
        <v>26</v>
      </c>
      <c r="M55">
        <v>2</v>
      </c>
      <c r="N55" t="s">
        <v>19</v>
      </c>
      <c r="O55">
        <v>10000</v>
      </c>
      <c r="P55" t="str" cm="1">
        <f t="array" ref="P55">_xlfn.IFS(Hospital_Patient[[#This Row],[Age]]&lt;=18,"Young",Hospital_Patient[[#This Row],[Age]]&lt;=36,"Adult",Hospital_Patient[[#This Row],[Age]]&lt;=60,"Middle Age",Hospital_Patient[[#This Row],[Age]]&gt;60,"Senior")</f>
        <v>Senior</v>
      </c>
      <c r="Q55" t="str" cm="1">
        <f t="array" ref="Q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5">
        <f>YEAR(Hospital_Patient[[#This Row],[Discharge_Date]])</f>
        <v>2025</v>
      </c>
    </row>
    <row r="56" spans="1:18" hidden="1" x14ac:dyDescent="0.25">
      <c r="A56">
        <v>906</v>
      </c>
      <c r="B56">
        <v>72</v>
      </c>
      <c r="C56" t="s">
        <v>22</v>
      </c>
      <c r="D56" t="s">
        <v>36</v>
      </c>
      <c r="E56" t="s">
        <v>37</v>
      </c>
      <c r="F56" s="5">
        <v>45908</v>
      </c>
      <c r="G56" s="5">
        <v>45973</v>
      </c>
      <c r="H56" t="s">
        <v>79</v>
      </c>
      <c r="I56">
        <v>2025</v>
      </c>
      <c r="J56">
        <v>65</v>
      </c>
      <c r="K56" t="s">
        <v>19</v>
      </c>
      <c r="L56" t="s">
        <v>26</v>
      </c>
      <c r="M56">
        <v>4</v>
      </c>
      <c r="N56" t="s">
        <v>19</v>
      </c>
      <c r="O56">
        <v>1000</v>
      </c>
      <c r="P56" t="str" cm="1">
        <f t="array" ref="P56">_xlfn.IFS(Hospital_Patient[[#This Row],[Age]]&lt;=18,"Young",Hospital_Patient[[#This Row],[Age]]&lt;=36,"Adult",Hospital_Patient[[#This Row],[Age]]&lt;=60,"Middle Age",Hospital_Patient[[#This Row],[Age]]&gt;60,"Senior")</f>
        <v>Senior</v>
      </c>
      <c r="Q56" t="str" cm="1">
        <f t="array" ref="Q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6">
        <f>YEAR(Hospital_Patient[[#This Row],[Discharge_Date]])</f>
        <v>2025</v>
      </c>
    </row>
    <row r="57" spans="1:18" x14ac:dyDescent="0.25">
      <c r="A57">
        <v>581</v>
      </c>
      <c r="B57">
        <v>53</v>
      </c>
      <c r="C57" t="s">
        <v>15</v>
      </c>
      <c r="D57" t="s">
        <v>33</v>
      </c>
      <c r="E57" t="s">
        <v>34</v>
      </c>
      <c r="F57" s="5">
        <v>45918</v>
      </c>
      <c r="G57" s="5">
        <v>45967</v>
      </c>
      <c r="H57" t="s">
        <v>67</v>
      </c>
      <c r="I57">
        <v>2025</v>
      </c>
      <c r="J57">
        <v>49</v>
      </c>
      <c r="K57" t="s">
        <v>21</v>
      </c>
      <c r="L57" t="s">
        <v>20</v>
      </c>
      <c r="M57">
        <v>4</v>
      </c>
      <c r="N57" t="s">
        <v>21</v>
      </c>
      <c r="O57">
        <v>25000</v>
      </c>
      <c r="P57" t="str" cm="1">
        <f t="array" ref="P57">_xlfn.IFS(Hospital_Patient[[#This Row],[Age]]&lt;=18,"Young",Hospital_Patient[[#This Row],[Age]]&lt;=36,"Adult",Hospital_Patient[[#This Row],[Age]]&lt;=60,"Middle Age",Hospital_Patient[[#This Row],[Age]]&gt;60,"Senior")</f>
        <v>Middle Age</v>
      </c>
      <c r="Q57" t="str" cm="1">
        <f t="array" ref="Q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
        <f>YEAR(Hospital_Patient[[#This Row],[Discharge_Date]])</f>
        <v>2025</v>
      </c>
    </row>
    <row r="58" spans="1:18" hidden="1" x14ac:dyDescent="0.25">
      <c r="A58">
        <v>49</v>
      </c>
      <c r="B58">
        <v>78</v>
      </c>
      <c r="C58" t="s">
        <v>22</v>
      </c>
      <c r="D58" t="s">
        <v>30</v>
      </c>
      <c r="E58" t="s">
        <v>31</v>
      </c>
      <c r="F58" s="5">
        <v>45956</v>
      </c>
      <c r="G58" s="5">
        <v>45966</v>
      </c>
      <c r="H58" t="s">
        <v>67</v>
      </c>
      <c r="I58">
        <v>2025</v>
      </c>
      <c r="J58">
        <v>10</v>
      </c>
      <c r="K58" t="s">
        <v>19</v>
      </c>
      <c r="L58" t="s">
        <v>26</v>
      </c>
      <c r="M58">
        <v>2</v>
      </c>
      <c r="N58" t="s">
        <v>19</v>
      </c>
      <c r="O58">
        <v>10000</v>
      </c>
      <c r="P58" t="str" cm="1">
        <f t="array" ref="P58">_xlfn.IFS(Hospital_Patient[[#This Row],[Age]]&lt;=18,"Young",Hospital_Patient[[#This Row],[Age]]&lt;=36,"Adult",Hospital_Patient[[#This Row],[Age]]&lt;=60,"Middle Age",Hospital_Patient[[#This Row],[Age]]&gt;60,"Senior")</f>
        <v>Senior</v>
      </c>
      <c r="Q58" t="str" cm="1">
        <f t="array" ref="Q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8">
        <f>YEAR(Hospital_Patient[[#This Row],[Discharge_Date]])</f>
        <v>2025</v>
      </c>
    </row>
    <row r="59" spans="1:18" x14ac:dyDescent="0.25">
      <c r="A59">
        <v>163</v>
      </c>
      <c r="B59">
        <v>65</v>
      </c>
      <c r="C59" t="s">
        <v>15</v>
      </c>
      <c r="D59" t="s">
        <v>59</v>
      </c>
      <c r="E59" t="s">
        <v>60</v>
      </c>
      <c r="F59" s="5">
        <v>45946</v>
      </c>
      <c r="G59" s="5">
        <v>45961</v>
      </c>
      <c r="H59" t="s">
        <v>61</v>
      </c>
      <c r="I59">
        <v>2025</v>
      </c>
      <c r="J59">
        <v>15</v>
      </c>
      <c r="K59" t="s">
        <v>19</v>
      </c>
      <c r="L59" t="s">
        <v>26</v>
      </c>
      <c r="M59">
        <v>4</v>
      </c>
      <c r="N59" t="s">
        <v>19</v>
      </c>
      <c r="O59">
        <v>4000</v>
      </c>
      <c r="P59" t="str" cm="1">
        <f t="array" ref="P59">_xlfn.IFS(Hospital_Patient[[#This Row],[Age]]&lt;=18,"Young",Hospital_Patient[[#This Row],[Age]]&lt;=36,"Adult",Hospital_Patient[[#This Row],[Age]]&lt;=60,"Middle Age",Hospital_Patient[[#This Row],[Age]]&gt;60,"Senior")</f>
        <v>Senior</v>
      </c>
      <c r="Q59" t="str" cm="1">
        <f t="array" ref="Q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9">
        <f>YEAR(Hospital_Patient[[#This Row],[Discharge_Date]])</f>
        <v>2025</v>
      </c>
    </row>
    <row r="60" spans="1:18" hidden="1" x14ac:dyDescent="0.25">
      <c r="A60">
        <v>497</v>
      </c>
      <c r="B60">
        <v>28</v>
      </c>
      <c r="C60" t="s">
        <v>22</v>
      </c>
      <c r="D60" t="s">
        <v>47</v>
      </c>
      <c r="E60" t="s">
        <v>48</v>
      </c>
      <c r="F60" s="5">
        <v>45927</v>
      </c>
      <c r="G60" s="5">
        <v>45961</v>
      </c>
      <c r="H60" t="s">
        <v>51</v>
      </c>
      <c r="I60">
        <v>2025</v>
      </c>
      <c r="J60">
        <v>34</v>
      </c>
      <c r="K60" t="s">
        <v>19</v>
      </c>
      <c r="L60" t="s">
        <v>20</v>
      </c>
      <c r="M60">
        <v>5</v>
      </c>
      <c r="N60" t="s">
        <v>21</v>
      </c>
      <c r="O60">
        <v>100</v>
      </c>
      <c r="P60" t="str" cm="1">
        <f t="array" ref="P60">_xlfn.IFS(Hospital_Patient[[#This Row],[Age]]&lt;=18,"Young",Hospital_Patient[[#This Row],[Age]]&lt;=36,"Adult",Hospital_Patient[[#This Row],[Age]]&lt;=60,"Middle Age",Hospital_Patient[[#This Row],[Age]]&gt;60,"Senior")</f>
        <v>Adult</v>
      </c>
      <c r="Q60" t="str" cm="1">
        <f t="array" ref="Q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0">
        <f>YEAR(Hospital_Patient[[#This Row],[Discharge_Date]])</f>
        <v>2025</v>
      </c>
    </row>
    <row r="61" spans="1:18" hidden="1" x14ac:dyDescent="0.25">
      <c r="A61">
        <v>386</v>
      </c>
      <c r="B61">
        <v>65</v>
      </c>
      <c r="C61" t="s">
        <v>22</v>
      </c>
      <c r="D61" t="s">
        <v>23</v>
      </c>
      <c r="E61" t="s">
        <v>24</v>
      </c>
      <c r="F61" s="5">
        <v>45930</v>
      </c>
      <c r="G61" s="5">
        <v>45959</v>
      </c>
      <c r="H61" t="s">
        <v>18</v>
      </c>
      <c r="I61">
        <v>2025</v>
      </c>
      <c r="J61">
        <v>29</v>
      </c>
      <c r="K61" t="s">
        <v>19</v>
      </c>
      <c r="L61" t="s">
        <v>26</v>
      </c>
      <c r="M61">
        <v>3</v>
      </c>
      <c r="N61" t="s">
        <v>19</v>
      </c>
      <c r="O61">
        <v>2000</v>
      </c>
      <c r="P61" t="str" cm="1">
        <f t="array" ref="P61">_xlfn.IFS(Hospital_Patient[[#This Row],[Age]]&lt;=18,"Young",Hospital_Patient[[#This Row],[Age]]&lt;=36,"Adult",Hospital_Patient[[#This Row],[Age]]&lt;=60,"Middle Age",Hospital_Patient[[#This Row],[Age]]&gt;60,"Senior")</f>
        <v>Senior</v>
      </c>
      <c r="Q61" t="str" cm="1">
        <f t="array" ref="Q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1">
        <f>YEAR(Hospital_Patient[[#This Row],[Discharge_Date]])</f>
        <v>2025</v>
      </c>
    </row>
    <row r="62" spans="1:18" x14ac:dyDescent="0.25">
      <c r="A62">
        <v>18</v>
      </c>
      <c r="B62">
        <v>35</v>
      </c>
      <c r="C62" t="s">
        <v>15</v>
      </c>
      <c r="D62" t="s">
        <v>27</v>
      </c>
      <c r="E62" t="s">
        <v>28</v>
      </c>
      <c r="F62" s="5">
        <v>45955</v>
      </c>
      <c r="G62" s="5">
        <v>45957</v>
      </c>
      <c r="H62" t="s">
        <v>29</v>
      </c>
      <c r="I62">
        <v>2025</v>
      </c>
      <c r="J62">
        <v>2</v>
      </c>
      <c r="K62" t="s">
        <v>21</v>
      </c>
      <c r="L62" t="s">
        <v>20</v>
      </c>
      <c r="M62">
        <v>5</v>
      </c>
      <c r="N62" t="s">
        <v>21</v>
      </c>
      <c r="O62">
        <v>500</v>
      </c>
      <c r="P62" t="str" cm="1">
        <f t="array" ref="P62">_xlfn.IFS(Hospital_Patient[[#This Row],[Age]]&lt;=18,"Young",Hospital_Patient[[#This Row],[Age]]&lt;=36,"Adult",Hospital_Patient[[#This Row],[Age]]&lt;=60,"Middle Age",Hospital_Patient[[#This Row],[Age]]&gt;60,"Senior")</f>
        <v>Adult</v>
      </c>
      <c r="Q62" t="str" cm="1">
        <f t="array" ref="Q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2">
        <f>YEAR(Hospital_Patient[[#This Row],[Discharge_Date]])</f>
        <v>2025</v>
      </c>
    </row>
    <row r="63" spans="1:18" x14ac:dyDescent="0.25">
      <c r="A63">
        <v>159</v>
      </c>
      <c r="B63">
        <v>52</v>
      </c>
      <c r="C63" t="s">
        <v>15</v>
      </c>
      <c r="D63" t="s">
        <v>49</v>
      </c>
      <c r="E63" t="s">
        <v>50</v>
      </c>
      <c r="F63" s="5">
        <v>45945</v>
      </c>
      <c r="G63" s="5">
        <v>45957</v>
      </c>
      <c r="H63" t="s">
        <v>66</v>
      </c>
      <c r="I63">
        <v>2025</v>
      </c>
      <c r="J63">
        <v>12</v>
      </c>
      <c r="K63" t="s">
        <v>19</v>
      </c>
      <c r="L63" t="s">
        <v>26</v>
      </c>
      <c r="M63">
        <v>4</v>
      </c>
      <c r="N63" t="s">
        <v>19</v>
      </c>
      <c r="O63">
        <v>800</v>
      </c>
      <c r="P63" t="str" cm="1">
        <f t="array" ref="P63">_xlfn.IFS(Hospital_Patient[[#This Row],[Age]]&lt;=18,"Young",Hospital_Patient[[#This Row],[Age]]&lt;=36,"Adult",Hospital_Patient[[#This Row],[Age]]&lt;=60,"Middle Age",Hospital_Patient[[#This Row],[Age]]&gt;60,"Senior")</f>
        <v>Middle Age</v>
      </c>
      <c r="Q63" t="str" cm="1">
        <f t="array" ref="Q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3">
        <f>YEAR(Hospital_Patient[[#This Row],[Discharge_Date]])</f>
        <v>2025</v>
      </c>
    </row>
    <row r="64" spans="1:18" x14ac:dyDescent="0.25">
      <c r="A64">
        <v>551</v>
      </c>
      <c r="B64">
        <v>53</v>
      </c>
      <c r="C64" t="s">
        <v>15</v>
      </c>
      <c r="D64" t="s">
        <v>33</v>
      </c>
      <c r="E64" t="s">
        <v>34</v>
      </c>
      <c r="F64" s="5">
        <v>45910</v>
      </c>
      <c r="G64" s="5">
        <v>45957</v>
      </c>
      <c r="H64" t="s">
        <v>67</v>
      </c>
      <c r="I64">
        <v>2025</v>
      </c>
      <c r="J64">
        <v>47</v>
      </c>
      <c r="K64" t="s">
        <v>21</v>
      </c>
      <c r="L64" t="s">
        <v>20</v>
      </c>
      <c r="M64">
        <v>4</v>
      </c>
      <c r="N64" t="s">
        <v>19</v>
      </c>
      <c r="O64">
        <v>25000</v>
      </c>
      <c r="P64" t="str" cm="1">
        <f t="array" ref="P64">_xlfn.IFS(Hospital_Patient[[#This Row],[Age]]&lt;=18,"Young",Hospital_Patient[[#This Row],[Age]]&lt;=36,"Adult",Hospital_Patient[[#This Row],[Age]]&lt;=60,"Middle Age",Hospital_Patient[[#This Row],[Age]]&gt;60,"Senior")</f>
        <v>Middle Age</v>
      </c>
      <c r="Q64" t="str" cm="1">
        <f t="array" ref="Q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
        <f>YEAR(Hospital_Patient[[#This Row],[Discharge_Date]])</f>
        <v>2025</v>
      </c>
    </row>
    <row r="65" spans="1:18" hidden="1" x14ac:dyDescent="0.25">
      <c r="A65">
        <v>655</v>
      </c>
      <c r="B65">
        <v>68</v>
      </c>
      <c r="C65" t="s">
        <v>22</v>
      </c>
      <c r="D65" t="s">
        <v>36</v>
      </c>
      <c r="E65" t="s">
        <v>37</v>
      </c>
      <c r="F65" s="5">
        <v>45908</v>
      </c>
      <c r="G65" s="5">
        <v>45956</v>
      </c>
      <c r="H65" t="s">
        <v>69</v>
      </c>
      <c r="I65">
        <v>2025</v>
      </c>
      <c r="J65">
        <v>48</v>
      </c>
      <c r="K65" t="s">
        <v>19</v>
      </c>
      <c r="L65" t="s">
        <v>26</v>
      </c>
      <c r="M65">
        <v>4</v>
      </c>
      <c r="N65" t="s">
        <v>19</v>
      </c>
      <c r="O65">
        <v>1000</v>
      </c>
      <c r="P65" t="str" cm="1">
        <f t="array" ref="P65">_xlfn.IFS(Hospital_Patient[[#This Row],[Age]]&lt;=18,"Young",Hospital_Patient[[#This Row],[Age]]&lt;=36,"Adult",Hospital_Patient[[#This Row],[Age]]&lt;=60,"Middle Age",Hospital_Patient[[#This Row],[Age]]&gt;60,"Senior")</f>
        <v>Senior</v>
      </c>
      <c r="Q65" t="str" cm="1">
        <f t="array" ref="Q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
        <f>YEAR(Hospital_Patient[[#This Row],[Discharge_Date]])</f>
        <v>2025</v>
      </c>
    </row>
    <row r="66" spans="1:18" hidden="1" x14ac:dyDescent="0.25">
      <c r="A66">
        <v>733</v>
      </c>
      <c r="B66">
        <v>28</v>
      </c>
      <c r="C66" t="s">
        <v>22</v>
      </c>
      <c r="D66" t="s">
        <v>47</v>
      </c>
      <c r="E66" t="s">
        <v>48</v>
      </c>
      <c r="F66" s="5">
        <v>45906</v>
      </c>
      <c r="G66" s="5">
        <v>45956</v>
      </c>
      <c r="H66" t="s">
        <v>74</v>
      </c>
      <c r="I66">
        <v>2025</v>
      </c>
      <c r="J66">
        <v>50</v>
      </c>
      <c r="K66" t="s">
        <v>19</v>
      </c>
      <c r="L66" t="s">
        <v>20</v>
      </c>
      <c r="M66">
        <v>5</v>
      </c>
      <c r="N66" t="s">
        <v>21</v>
      </c>
      <c r="O66">
        <v>100</v>
      </c>
      <c r="P66" t="str" cm="1">
        <f t="array" ref="P66">_xlfn.IFS(Hospital_Patient[[#This Row],[Age]]&lt;=18,"Young",Hospital_Patient[[#This Row],[Age]]&lt;=36,"Adult",Hospital_Patient[[#This Row],[Age]]&lt;=60,"Middle Age",Hospital_Patient[[#This Row],[Age]]&gt;60,"Senior")</f>
        <v>Adult</v>
      </c>
      <c r="Q66" t="str" cm="1">
        <f t="array" ref="Q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6">
        <f>YEAR(Hospital_Patient[[#This Row],[Discharge_Date]])</f>
        <v>2025</v>
      </c>
    </row>
    <row r="67" spans="1:18" x14ac:dyDescent="0.25">
      <c r="A67">
        <v>593</v>
      </c>
      <c r="B67">
        <v>30</v>
      </c>
      <c r="C67" t="s">
        <v>15</v>
      </c>
      <c r="D67" t="s">
        <v>27</v>
      </c>
      <c r="E67" t="s">
        <v>28</v>
      </c>
      <c r="F67" s="5">
        <v>45913</v>
      </c>
      <c r="G67" s="5">
        <v>45954</v>
      </c>
      <c r="H67" t="s">
        <v>70</v>
      </c>
      <c r="I67">
        <v>2025</v>
      </c>
      <c r="J67">
        <v>41</v>
      </c>
      <c r="K67" t="s">
        <v>19</v>
      </c>
      <c r="L67" t="s">
        <v>20</v>
      </c>
      <c r="M67">
        <v>5</v>
      </c>
      <c r="N67" t="s">
        <v>19</v>
      </c>
      <c r="O67">
        <v>500</v>
      </c>
      <c r="P67" t="str" cm="1">
        <f t="array" ref="P67">_xlfn.IFS(Hospital_Patient[[#This Row],[Age]]&lt;=18,"Young",Hospital_Patient[[#This Row],[Age]]&lt;=36,"Adult",Hospital_Patient[[#This Row],[Age]]&lt;=60,"Middle Age",Hospital_Patient[[#This Row],[Age]]&gt;60,"Senior")</f>
        <v>Adult</v>
      </c>
      <c r="Q67" t="str" cm="1">
        <f t="array" ref="Q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7">
        <f>YEAR(Hospital_Patient[[#This Row],[Discharge_Date]])</f>
        <v>2025</v>
      </c>
    </row>
    <row r="68" spans="1:18" hidden="1" x14ac:dyDescent="0.25">
      <c r="A68">
        <v>691</v>
      </c>
      <c r="B68">
        <v>58</v>
      </c>
      <c r="C68" t="s">
        <v>22</v>
      </c>
      <c r="D68" t="s">
        <v>52</v>
      </c>
      <c r="E68" t="s">
        <v>53</v>
      </c>
      <c r="F68" s="5">
        <v>45899</v>
      </c>
      <c r="G68" s="5">
        <v>45954</v>
      </c>
      <c r="H68" t="s">
        <v>67</v>
      </c>
      <c r="I68">
        <v>2025</v>
      </c>
      <c r="J68">
        <v>55</v>
      </c>
      <c r="K68" t="s">
        <v>19</v>
      </c>
      <c r="L68" t="s">
        <v>20</v>
      </c>
      <c r="M68">
        <v>3</v>
      </c>
      <c r="N68" t="s">
        <v>21</v>
      </c>
      <c r="O68">
        <v>20000</v>
      </c>
      <c r="P68" t="str" cm="1">
        <f t="array" ref="P68">_xlfn.IFS(Hospital_Patient[[#This Row],[Age]]&lt;=18,"Young",Hospital_Patient[[#This Row],[Age]]&lt;=36,"Adult",Hospital_Patient[[#This Row],[Age]]&lt;=60,"Middle Age",Hospital_Patient[[#This Row],[Age]]&gt;60,"Senior")</f>
        <v>Middle Age</v>
      </c>
      <c r="Q68" t="str" cm="1">
        <f t="array" ref="Q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8">
        <f>YEAR(Hospital_Patient[[#This Row],[Discharge_Date]])</f>
        <v>2025</v>
      </c>
    </row>
    <row r="69" spans="1:18" hidden="1" x14ac:dyDescent="0.25">
      <c r="A69">
        <v>294</v>
      </c>
      <c r="B69">
        <v>50</v>
      </c>
      <c r="C69" t="s">
        <v>22</v>
      </c>
      <c r="D69" t="s">
        <v>57</v>
      </c>
      <c r="E69" t="s">
        <v>58</v>
      </c>
      <c r="F69" s="5">
        <v>45930</v>
      </c>
      <c r="G69" s="5">
        <v>45953</v>
      </c>
      <c r="H69" t="s">
        <v>44</v>
      </c>
      <c r="I69">
        <v>2025</v>
      </c>
      <c r="J69">
        <v>23</v>
      </c>
      <c r="K69" t="s">
        <v>19</v>
      </c>
      <c r="L69" t="s">
        <v>20</v>
      </c>
      <c r="M69">
        <v>3</v>
      </c>
      <c r="N69" t="s">
        <v>21</v>
      </c>
      <c r="O69">
        <v>6000</v>
      </c>
      <c r="P69" t="str" cm="1">
        <f t="array" ref="P69">_xlfn.IFS(Hospital_Patient[[#This Row],[Age]]&lt;=18,"Young",Hospital_Patient[[#This Row],[Age]]&lt;=36,"Adult",Hospital_Patient[[#This Row],[Age]]&lt;=60,"Middle Age",Hospital_Patient[[#This Row],[Age]]&gt;60,"Senior")</f>
        <v>Middle Age</v>
      </c>
      <c r="Q69" t="str" cm="1">
        <f t="array" ref="Q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9">
        <f>YEAR(Hospital_Patient[[#This Row],[Discharge_Date]])</f>
        <v>2025</v>
      </c>
    </row>
    <row r="70" spans="1:18" x14ac:dyDescent="0.25">
      <c r="A70">
        <v>896</v>
      </c>
      <c r="B70">
        <v>52</v>
      </c>
      <c r="C70" t="s">
        <v>15</v>
      </c>
      <c r="D70" t="s">
        <v>49</v>
      </c>
      <c r="E70" t="s">
        <v>50</v>
      </c>
      <c r="F70" s="5">
        <v>45887</v>
      </c>
      <c r="G70" s="5">
        <v>45949</v>
      </c>
      <c r="H70" t="s">
        <v>51</v>
      </c>
      <c r="I70">
        <v>2025</v>
      </c>
      <c r="J70">
        <v>62</v>
      </c>
      <c r="K70" t="s">
        <v>19</v>
      </c>
      <c r="L70" t="s">
        <v>26</v>
      </c>
      <c r="M70">
        <v>4</v>
      </c>
      <c r="N70" t="s">
        <v>19</v>
      </c>
      <c r="O70">
        <v>800</v>
      </c>
      <c r="P70" t="str" cm="1">
        <f t="array" ref="P70">_xlfn.IFS(Hospital_Patient[[#This Row],[Age]]&lt;=18,"Young",Hospital_Patient[[#This Row],[Age]]&lt;=36,"Adult",Hospital_Patient[[#This Row],[Age]]&lt;=60,"Middle Age",Hospital_Patient[[#This Row],[Age]]&gt;60,"Senior")</f>
        <v>Middle Age</v>
      </c>
      <c r="Q70" t="str" cm="1">
        <f t="array" ref="Q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0">
        <f>YEAR(Hospital_Patient[[#This Row],[Discharge_Date]])</f>
        <v>2025</v>
      </c>
    </row>
    <row r="71" spans="1:18" x14ac:dyDescent="0.25">
      <c r="A71">
        <v>797</v>
      </c>
      <c r="B71">
        <v>60</v>
      </c>
      <c r="C71" t="s">
        <v>15</v>
      </c>
      <c r="D71" t="s">
        <v>59</v>
      </c>
      <c r="E71" t="s">
        <v>60</v>
      </c>
      <c r="F71" s="5">
        <v>45889</v>
      </c>
      <c r="G71" s="5">
        <v>45947</v>
      </c>
      <c r="H71" t="s">
        <v>75</v>
      </c>
      <c r="I71">
        <v>2025</v>
      </c>
      <c r="J71">
        <v>58</v>
      </c>
      <c r="K71" t="s">
        <v>19</v>
      </c>
      <c r="L71" t="s">
        <v>26</v>
      </c>
      <c r="M71">
        <v>4</v>
      </c>
      <c r="N71" t="s">
        <v>21</v>
      </c>
      <c r="O71">
        <v>4000</v>
      </c>
      <c r="P71" t="str" cm="1">
        <f t="array" ref="P71">_xlfn.IFS(Hospital_Patient[[#This Row],[Age]]&lt;=18,"Young",Hospital_Patient[[#This Row],[Age]]&lt;=36,"Adult",Hospital_Patient[[#This Row],[Age]]&lt;=60,"Middle Age",Hospital_Patient[[#This Row],[Age]]&gt;60,"Senior")</f>
        <v>Middle Age</v>
      </c>
      <c r="Q71" t="str" cm="1">
        <f t="array" ref="Q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1">
        <f>YEAR(Hospital_Patient[[#This Row],[Discharge_Date]])</f>
        <v>2025</v>
      </c>
    </row>
    <row r="72" spans="1:18" x14ac:dyDescent="0.25">
      <c r="A72">
        <v>290</v>
      </c>
      <c r="B72">
        <v>75</v>
      </c>
      <c r="C72" t="s">
        <v>15</v>
      </c>
      <c r="D72" t="s">
        <v>45</v>
      </c>
      <c r="E72" t="s">
        <v>46</v>
      </c>
      <c r="F72" s="5">
        <v>45916</v>
      </c>
      <c r="G72" s="5">
        <v>45943</v>
      </c>
      <c r="H72" t="s">
        <v>69</v>
      </c>
      <c r="I72">
        <v>2025</v>
      </c>
      <c r="J72">
        <v>27</v>
      </c>
      <c r="K72" t="s">
        <v>21</v>
      </c>
      <c r="L72" t="s">
        <v>26</v>
      </c>
      <c r="M72">
        <v>2</v>
      </c>
      <c r="N72" t="s">
        <v>19</v>
      </c>
      <c r="O72">
        <v>18000</v>
      </c>
      <c r="P72" t="str" cm="1">
        <f t="array" ref="P72">_xlfn.IFS(Hospital_Patient[[#This Row],[Age]]&lt;=18,"Young",Hospital_Patient[[#This Row],[Age]]&lt;=36,"Adult",Hospital_Patient[[#This Row],[Age]]&lt;=60,"Middle Age",Hospital_Patient[[#This Row],[Age]]&gt;60,"Senior")</f>
        <v>Senior</v>
      </c>
      <c r="Q72" t="str" cm="1">
        <f t="array" ref="Q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2">
        <f>YEAR(Hospital_Patient[[#This Row],[Discharge_Date]])</f>
        <v>2025</v>
      </c>
    </row>
    <row r="73" spans="1:18" x14ac:dyDescent="0.25">
      <c r="A73">
        <v>424</v>
      </c>
      <c r="B73">
        <v>52</v>
      </c>
      <c r="C73" t="s">
        <v>15</v>
      </c>
      <c r="D73" t="s">
        <v>49</v>
      </c>
      <c r="E73" t="s">
        <v>50</v>
      </c>
      <c r="F73" s="5">
        <v>45913</v>
      </c>
      <c r="G73" s="5">
        <v>45943</v>
      </c>
      <c r="H73" t="s">
        <v>64</v>
      </c>
      <c r="I73">
        <v>2025</v>
      </c>
      <c r="J73">
        <v>30</v>
      </c>
      <c r="K73" t="s">
        <v>19</v>
      </c>
      <c r="L73" t="s">
        <v>26</v>
      </c>
      <c r="M73">
        <v>4</v>
      </c>
      <c r="N73" t="s">
        <v>19</v>
      </c>
      <c r="O73">
        <v>800</v>
      </c>
      <c r="P73" t="str" cm="1">
        <f t="array" ref="P73">_xlfn.IFS(Hospital_Patient[[#This Row],[Age]]&lt;=18,"Young",Hospital_Patient[[#This Row],[Age]]&lt;=36,"Adult",Hospital_Patient[[#This Row],[Age]]&lt;=60,"Middle Age",Hospital_Patient[[#This Row],[Age]]&gt;60,"Senior")</f>
        <v>Middle Age</v>
      </c>
      <c r="Q73" t="str" cm="1">
        <f t="array" ref="Q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3">
        <f>YEAR(Hospital_Patient[[#This Row],[Discharge_Date]])</f>
        <v>2025</v>
      </c>
    </row>
    <row r="74" spans="1:18" x14ac:dyDescent="0.25">
      <c r="A74">
        <v>732</v>
      </c>
      <c r="B74">
        <v>75</v>
      </c>
      <c r="C74" t="s">
        <v>15</v>
      </c>
      <c r="D74" t="s">
        <v>45</v>
      </c>
      <c r="E74" t="s">
        <v>46</v>
      </c>
      <c r="F74" s="5">
        <v>45884</v>
      </c>
      <c r="G74" s="5">
        <v>45941</v>
      </c>
      <c r="H74" t="s">
        <v>69</v>
      </c>
      <c r="I74">
        <v>2025</v>
      </c>
      <c r="J74">
        <v>57</v>
      </c>
      <c r="K74" t="s">
        <v>21</v>
      </c>
      <c r="L74" t="s">
        <v>26</v>
      </c>
      <c r="M74">
        <v>2</v>
      </c>
      <c r="N74" t="s">
        <v>21</v>
      </c>
      <c r="O74">
        <v>18000</v>
      </c>
      <c r="P74" t="str" cm="1">
        <f t="array" ref="P74">_xlfn.IFS(Hospital_Patient[[#This Row],[Age]]&lt;=18,"Young",Hospital_Patient[[#This Row],[Age]]&lt;=36,"Adult",Hospital_Patient[[#This Row],[Age]]&lt;=60,"Middle Age",Hospital_Patient[[#This Row],[Age]]&gt;60,"Senior")</f>
        <v>Senior</v>
      </c>
      <c r="Q74" t="str" cm="1">
        <f t="array" ref="Q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
        <f>YEAR(Hospital_Patient[[#This Row],[Discharge_Date]])</f>
        <v>2025</v>
      </c>
    </row>
    <row r="75" spans="1:18" x14ac:dyDescent="0.25">
      <c r="A75">
        <v>690</v>
      </c>
      <c r="B75">
        <v>52</v>
      </c>
      <c r="C75" t="s">
        <v>15</v>
      </c>
      <c r="D75" t="s">
        <v>49</v>
      </c>
      <c r="E75" t="s">
        <v>50</v>
      </c>
      <c r="F75" s="5">
        <v>45892</v>
      </c>
      <c r="G75" s="5">
        <v>45940</v>
      </c>
      <c r="H75" t="s">
        <v>66</v>
      </c>
      <c r="I75">
        <v>2025</v>
      </c>
      <c r="J75">
        <v>48</v>
      </c>
      <c r="K75" t="s">
        <v>19</v>
      </c>
      <c r="L75" t="s">
        <v>26</v>
      </c>
      <c r="M75">
        <v>4</v>
      </c>
      <c r="N75" t="s">
        <v>19</v>
      </c>
      <c r="O75">
        <v>800</v>
      </c>
      <c r="P75" t="str" cm="1">
        <f t="array" ref="P75">_xlfn.IFS(Hospital_Patient[[#This Row],[Age]]&lt;=18,"Young",Hospital_Patient[[#This Row],[Age]]&lt;=36,"Adult",Hospital_Patient[[#This Row],[Age]]&lt;=60,"Middle Age",Hospital_Patient[[#This Row],[Age]]&gt;60,"Senior")</f>
        <v>Middle Age</v>
      </c>
      <c r="Q75" t="str" cm="1">
        <f t="array" ref="Q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
        <f>YEAR(Hospital_Patient[[#This Row],[Discharge_Date]])</f>
        <v>2025</v>
      </c>
    </row>
    <row r="76" spans="1:18" hidden="1" x14ac:dyDescent="0.25">
      <c r="A76">
        <v>849</v>
      </c>
      <c r="B76">
        <v>45</v>
      </c>
      <c r="C76" t="s">
        <v>22</v>
      </c>
      <c r="D76" t="s">
        <v>42</v>
      </c>
      <c r="E76" t="s">
        <v>43</v>
      </c>
      <c r="F76" s="5">
        <v>45877</v>
      </c>
      <c r="G76" s="5">
        <v>45940</v>
      </c>
      <c r="H76" t="s">
        <v>71</v>
      </c>
      <c r="I76">
        <v>2025</v>
      </c>
      <c r="J76">
        <v>63</v>
      </c>
      <c r="K76" t="s">
        <v>19</v>
      </c>
      <c r="L76" t="s">
        <v>20</v>
      </c>
      <c r="M76">
        <v>4</v>
      </c>
      <c r="N76" t="s">
        <v>19</v>
      </c>
      <c r="O76">
        <v>3000</v>
      </c>
      <c r="P76" t="str" cm="1">
        <f t="array" ref="P76">_xlfn.IFS(Hospital_Patient[[#This Row],[Age]]&lt;=18,"Young",Hospital_Patient[[#This Row],[Age]]&lt;=36,"Adult",Hospital_Patient[[#This Row],[Age]]&lt;=60,"Middle Age",Hospital_Patient[[#This Row],[Age]]&gt;60,"Senior")</f>
        <v>Middle Age</v>
      </c>
      <c r="Q76" t="str" cm="1">
        <f t="array" ref="Q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6">
        <f>YEAR(Hospital_Patient[[#This Row],[Discharge_Date]])</f>
        <v>2025</v>
      </c>
    </row>
    <row r="77" spans="1:18" hidden="1" x14ac:dyDescent="0.25">
      <c r="A77">
        <v>86</v>
      </c>
      <c r="B77">
        <v>67</v>
      </c>
      <c r="C77" t="s">
        <v>22</v>
      </c>
      <c r="D77" t="s">
        <v>52</v>
      </c>
      <c r="E77" t="s">
        <v>53</v>
      </c>
      <c r="F77" s="5">
        <v>45924</v>
      </c>
      <c r="G77" s="5">
        <v>45938</v>
      </c>
      <c r="H77" t="s">
        <v>67</v>
      </c>
      <c r="I77">
        <v>2025</v>
      </c>
      <c r="J77">
        <v>14</v>
      </c>
      <c r="K77" t="s">
        <v>19</v>
      </c>
      <c r="L77" t="s">
        <v>20</v>
      </c>
      <c r="M77">
        <v>3</v>
      </c>
      <c r="N77" t="s">
        <v>21</v>
      </c>
      <c r="O77">
        <v>20000</v>
      </c>
      <c r="P77" t="str" cm="1">
        <f t="array" ref="P77">_xlfn.IFS(Hospital_Patient[[#This Row],[Age]]&lt;=18,"Young",Hospital_Patient[[#This Row],[Age]]&lt;=36,"Adult",Hospital_Patient[[#This Row],[Age]]&lt;=60,"Middle Age",Hospital_Patient[[#This Row],[Age]]&gt;60,"Senior")</f>
        <v>Senior</v>
      </c>
      <c r="Q77" t="str" cm="1">
        <f t="array" ref="Q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7">
        <f>YEAR(Hospital_Patient[[#This Row],[Discharge_Date]])</f>
        <v>2025</v>
      </c>
    </row>
    <row r="78" spans="1:18" x14ac:dyDescent="0.25">
      <c r="A78">
        <v>13</v>
      </c>
      <c r="B78">
        <v>30</v>
      </c>
      <c r="C78" t="s">
        <v>15</v>
      </c>
      <c r="D78" t="s">
        <v>54</v>
      </c>
      <c r="E78" t="s">
        <v>55</v>
      </c>
      <c r="F78" s="5">
        <v>45934</v>
      </c>
      <c r="G78" s="5">
        <v>45937</v>
      </c>
      <c r="H78" t="s">
        <v>56</v>
      </c>
      <c r="I78">
        <v>2025</v>
      </c>
      <c r="J78">
        <v>3</v>
      </c>
      <c r="K78" t="s">
        <v>19</v>
      </c>
      <c r="L78" t="s">
        <v>20</v>
      </c>
      <c r="M78">
        <v>4</v>
      </c>
      <c r="N78" t="s">
        <v>19</v>
      </c>
      <c r="O78">
        <v>12000</v>
      </c>
      <c r="P78" t="str" cm="1">
        <f t="array" ref="P78">_xlfn.IFS(Hospital_Patient[[#This Row],[Age]]&lt;=18,"Young",Hospital_Patient[[#This Row],[Age]]&lt;=36,"Adult",Hospital_Patient[[#This Row],[Age]]&lt;=60,"Middle Age",Hospital_Patient[[#This Row],[Age]]&gt;60,"Senior")</f>
        <v>Adult</v>
      </c>
      <c r="Q78" t="str" cm="1">
        <f t="array" ref="Q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78">
        <f>YEAR(Hospital_Patient[[#This Row],[Discharge_Date]])</f>
        <v>2025</v>
      </c>
    </row>
    <row r="79" spans="1:18" x14ac:dyDescent="0.25">
      <c r="A79">
        <v>458</v>
      </c>
      <c r="B79">
        <v>65</v>
      </c>
      <c r="C79" t="s">
        <v>15</v>
      </c>
      <c r="D79" t="s">
        <v>59</v>
      </c>
      <c r="E79" t="s">
        <v>60</v>
      </c>
      <c r="F79" s="5">
        <v>45900</v>
      </c>
      <c r="G79" s="5">
        <v>45935</v>
      </c>
      <c r="H79" t="s">
        <v>73</v>
      </c>
      <c r="I79">
        <v>2025</v>
      </c>
      <c r="J79">
        <v>35</v>
      </c>
      <c r="K79" t="s">
        <v>19</v>
      </c>
      <c r="L79" t="s">
        <v>26</v>
      </c>
      <c r="M79">
        <v>4</v>
      </c>
      <c r="N79" t="s">
        <v>19</v>
      </c>
      <c r="O79">
        <v>4000</v>
      </c>
      <c r="P79" t="str" cm="1">
        <f t="array" ref="P79">_xlfn.IFS(Hospital_Patient[[#This Row],[Age]]&lt;=18,"Young",Hospital_Patient[[#This Row],[Age]]&lt;=36,"Adult",Hospital_Patient[[#This Row],[Age]]&lt;=60,"Middle Age",Hospital_Patient[[#This Row],[Age]]&gt;60,"Senior")</f>
        <v>Senior</v>
      </c>
      <c r="Q79" t="str" cm="1">
        <f t="array" ref="Q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
        <f>YEAR(Hospital_Patient[[#This Row],[Discharge_Date]])</f>
        <v>2025</v>
      </c>
    </row>
    <row r="80" spans="1:18" hidden="1" x14ac:dyDescent="0.25">
      <c r="A80">
        <v>613</v>
      </c>
      <c r="B80">
        <v>45</v>
      </c>
      <c r="C80" t="s">
        <v>22</v>
      </c>
      <c r="D80" t="s">
        <v>42</v>
      </c>
      <c r="E80" t="s">
        <v>43</v>
      </c>
      <c r="F80" s="5">
        <v>45886</v>
      </c>
      <c r="G80" s="5">
        <v>45933</v>
      </c>
      <c r="H80" t="s">
        <v>71</v>
      </c>
      <c r="I80">
        <v>2025</v>
      </c>
      <c r="J80">
        <v>47</v>
      </c>
      <c r="K80" t="s">
        <v>19</v>
      </c>
      <c r="L80" t="s">
        <v>20</v>
      </c>
      <c r="M80">
        <v>4</v>
      </c>
      <c r="N80" t="s">
        <v>19</v>
      </c>
      <c r="O80">
        <v>3000</v>
      </c>
      <c r="P80" t="str" cm="1">
        <f t="array" ref="P80">_xlfn.IFS(Hospital_Patient[[#This Row],[Age]]&lt;=18,"Young",Hospital_Patient[[#This Row],[Age]]&lt;=36,"Adult",Hospital_Patient[[#This Row],[Age]]&lt;=60,"Middle Age",Hospital_Patient[[#This Row],[Age]]&gt;60,"Senior")</f>
        <v>Middle Age</v>
      </c>
      <c r="Q80" t="str" cm="1">
        <f t="array" ref="Q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0">
        <f>YEAR(Hospital_Patient[[#This Row],[Discharge_Date]])</f>
        <v>2025</v>
      </c>
    </row>
    <row r="81" spans="1:18" x14ac:dyDescent="0.25">
      <c r="A81">
        <v>863</v>
      </c>
      <c r="B81">
        <v>45</v>
      </c>
      <c r="C81" t="s">
        <v>15</v>
      </c>
      <c r="D81" t="s">
        <v>39</v>
      </c>
      <c r="E81" t="s">
        <v>40</v>
      </c>
      <c r="F81" s="5">
        <v>45865</v>
      </c>
      <c r="G81" s="5">
        <v>45929</v>
      </c>
      <c r="H81" t="s">
        <v>72</v>
      </c>
      <c r="I81">
        <v>2025</v>
      </c>
      <c r="J81">
        <v>64</v>
      </c>
      <c r="K81" t="s">
        <v>19</v>
      </c>
      <c r="L81" t="s">
        <v>20</v>
      </c>
      <c r="M81">
        <v>3</v>
      </c>
      <c r="N81" t="s">
        <v>19</v>
      </c>
      <c r="O81">
        <v>8000</v>
      </c>
      <c r="P81" t="str" cm="1">
        <f t="array" ref="P81">_xlfn.IFS(Hospital_Patient[[#This Row],[Age]]&lt;=18,"Young",Hospital_Patient[[#This Row],[Age]]&lt;=36,"Adult",Hospital_Patient[[#This Row],[Age]]&lt;=60,"Middle Age",Hospital_Patient[[#This Row],[Age]]&gt;60,"Senior")</f>
        <v>Middle Age</v>
      </c>
      <c r="Q81" t="str" cm="1">
        <f t="array" ref="Q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1">
        <f>YEAR(Hospital_Patient[[#This Row],[Discharge_Date]])</f>
        <v>2025</v>
      </c>
    </row>
    <row r="82" spans="1:18" hidden="1" x14ac:dyDescent="0.25">
      <c r="A82">
        <v>14</v>
      </c>
      <c r="B82">
        <v>52</v>
      </c>
      <c r="C82" t="s">
        <v>22</v>
      </c>
      <c r="D82" t="s">
        <v>57</v>
      </c>
      <c r="E82" t="s">
        <v>58</v>
      </c>
      <c r="F82" s="5">
        <v>45924</v>
      </c>
      <c r="G82" s="5">
        <v>45928</v>
      </c>
      <c r="H82" t="s">
        <v>51</v>
      </c>
      <c r="I82">
        <v>2025</v>
      </c>
      <c r="J82">
        <v>4</v>
      </c>
      <c r="K82" t="s">
        <v>19</v>
      </c>
      <c r="L82" t="s">
        <v>20</v>
      </c>
      <c r="M82">
        <v>3</v>
      </c>
      <c r="N82" t="s">
        <v>19</v>
      </c>
      <c r="O82">
        <v>6000</v>
      </c>
      <c r="P82" t="str" cm="1">
        <f t="array" ref="P82">_xlfn.IFS(Hospital_Patient[[#This Row],[Age]]&lt;=18,"Young",Hospital_Patient[[#This Row],[Age]]&lt;=36,"Adult",Hospital_Patient[[#This Row],[Age]]&lt;=60,"Middle Age",Hospital_Patient[[#This Row],[Age]]&gt;60,"Senior")</f>
        <v>Middle Age</v>
      </c>
      <c r="Q82" t="str" cm="1">
        <f t="array" ref="Q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2">
        <f>YEAR(Hospital_Patient[[#This Row],[Discharge_Date]])</f>
        <v>2025</v>
      </c>
    </row>
    <row r="83" spans="1:18" hidden="1" x14ac:dyDescent="0.25">
      <c r="A83">
        <v>255</v>
      </c>
      <c r="B83">
        <v>78</v>
      </c>
      <c r="C83" t="s">
        <v>22</v>
      </c>
      <c r="D83" t="s">
        <v>30</v>
      </c>
      <c r="E83" t="s">
        <v>31</v>
      </c>
      <c r="F83" s="5">
        <v>45903</v>
      </c>
      <c r="G83" s="5">
        <v>45927</v>
      </c>
      <c r="H83" t="s">
        <v>32</v>
      </c>
      <c r="I83">
        <v>2025</v>
      </c>
      <c r="J83">
        <v>24</v>
      </c>
      <c r="K83" t="s">
        <v>19</v>
      </c>
      <c r="L83" t="s">
        <v>26</v>
      </c>
      <c r="M83">
        <v>2</v>
      </c>
      <c r="N83" t="s">
        <v>21</v>
      </c>
      <c r="O83">
        <v>10000</v>
      </c>
      <c r="P83" t="str" cm="1">
        <f t="array" ref="P83">_xlfn.IFS(Hospital_Patient[[#This Row],[Age]]&lt;=18,"Young",Hospital_Patient[[#This Row],[Age]]&lt;=36,"Adult",Hospital_Patient[[#This Row],[Age]]&lt;=60,"Middle Age",Hospital_Patient[[#This Row],[Age]]&gt;60,"Senior")</f>
        <v>Senior</v>
      </c>
      <c r="Q83" t="str" cm="1">
        <f t="array" ref="Q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3">
        <f>YEAR(Hospital_Patient[[#This Row],[Discharge_Date]])</f>
        <v>2025</v>
      </c>
    </row>
    <row r="84" spans="1:18" x14ac:dyDescent="0.25">
      <c r="A84">
        <v>144</v>
      </c>
      <c r="B84">
        <v>52</v>
      </c>
      <c r="C84" t="s">
        <v>15</v>
      </c>
      <c r="D84" t="s">
        <v>49</v>
      </c>
      <c r="E84" t="s">
        <v>50</v>
      </c>
      <c r="F84" s="5">
        <v>45913</v>
      </c>
      <c r="G84" s="5">
        <v>45924</v>
      </c>
      <c r="H84" t="s">
        <v>51</v>
      </c>
      <c r="I84">
        <v>2025</v>
      </c>
      <c r="J84">
        <v>11</v>
      </c>
      <c r="K84" t="s">
        <v>19</v>
      </c>
      <c r="L84" t="s">
        <v>26</v>
      </c>
      <c r="M84">
        <v>4</v>
      </c>
      <c r="N84" t="s">
        <v>19</v>
      </c>
      <c r="O84">
        <v>800</v>
      </c>
      <c r="P84" t="str" cm="1">
        <f t="array" ref="P84">_xlfn.IFS(Hospital_Patient[[#This Row],[Age]]&lt;=18,"Young",Hospital_Patient[[#This Row],[Age]]&lt;=36,"Adult",Hospital_Patient[[#This Row],[Age]]&lt;=60,"Middle Age",Hospital_Patient[[#This Row],[Age]]&gt;60,"Senior")</f>
        <v>Middle Age</v>
      </c>
      <c r="Q84" t="str" cm="1">
        <f t="array" ref="Q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4">
        <f>YEAR(Hospital_Patient[[#This Row],[Discharge_Date]])</f>
        <v>2025</v>
      </c>
    </row>
    <row r="85" spans="1:18" hidden="1" x14ac:dyDescent="0.25">
      <c r="A85">
        <v>221</v>
      </c>
      <c r="B85">
        <v>55</v>
      </c>
      <c r="C85" t="s">
        <v>22</v>
      </c>
      <c r="D85" t="s">
        <v>57</v>
      </c>
      <c r="E85" t="s">
        <v>58</v>
      </c>
      <c r="F85" s="5">
        <v>45904</v>
      </c>
      <c r="G85" s="5">
        <v>45922</v>
      </c>
      <c r="H85" t="s">
        <v>51</v>
      </c>
      <c r="I85">
        <v>2025</v>
      </c>
      <c r="J85">
        <v>18</v>
      </c>
      <c r="K85" t="s">
        <v>19</v>
      </c>
      <c r="L85" t="s">
        <v>20</v>
      </c>
      <c r="M85">
        <v>3</v>
      </c>
      <c r="N85" t="s">
        <v>21</v>
      </c>
      <c r="O85">
        <v>6000</v>
      </c>
      <c r="P85" t="str" cm="1">
        <f t="array" ref="P85">_xlfn.IFS(Hospital_Patient[[#This Row],[Age]]&lt;=18,"Young",Hospital_Patient[[#This Row],[Age]]&lt;=36,"Adult",Hospital_Patient[[#This Row],[Age]]&lt;=60,"Middle Age",Hospital_Patient[[#This Row],[Age]]&gt;60,"Senior")</f>
        <v>Middle Age</v>
      </c>
      <c r="Q85" t="str" cm="1">
        <f t="array" ref="Q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5">
        <f>YEAR(Hospital_Patient[[#This Row],[Discharge_Date]])</f>
        <v>2025</v>
      </c>
    </row>
    <row r="86" spans="1:18" x14ac:dyDescent="0.25">
      <c r="A86">
        <v>692</v>
      </c>
      <c r="B86">
        <v>32</v>
      </c>
      <c r="C86" t="s">
        <v>15</v>
      </c>
      <c r="D86" t="s">
        <v>54</v>
      </c>
      <c r="E86" t="s">
        <v>55</v>
      </c>
      <c r="F86" s="5">
        <v>45872</v>
      </c>
      <c r="G86" s="5">
        <v>45921</v>
      </c>
      <c r="H86" t="s">
        <v>56</v>
      </c>
      <c r="I86">
        <v>2025</v>
      </c>
      <c r="J86">
        <v>49</v>
      </c>
      <c r="K86" t="s">
        <v>19</v>
      </c>
      <c r="L86" t="s">
        <v>20</v>
      </c>
      <c r="M86">
        <v>4</v>
      </c>
      <c r="N86" t="s">
        <v>19</v>
      </c>
      <c r="O86">
        <v>12000</v>
      </c>
      <c r="P86" t="str" cm="1">
        <f t="array" ref="P86">_xlfn.IFS(Hospital_Patient[[#This Row],[Age]]&lt;=18,"Young",Hospital_Patient[[#This Row],[Age]]&lt;=36,"Adult",Hospital_Patient[[#This Row],[Age]]&lt;=60,"Middle Age",Hospital_Patient[[#This Row],[Age]]&gt;60,"Senior")</f>
        <v>Adult</v>
      </c>
      <c r="Q86" t="str" cm="1">
        <f t="array" ref="Q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6">
        <f>YEAR(Hospital_Patient[[#This Row],[Discharge_Date]])</f>
        <v>2025</v>
      </c>
    </row>
    <row r="87" spans="1:18" x14ac:dyDescent="0.25">
      <c r="A87">
        <v>812</v>
      </c>
      <c r="B87">
        <v>65</v>
      </c>
      <c r="C87" t="s">
        <v>15</v>
      </c>
      <c r="D87" t="s">
        <v>59</v>
      </c>
      <c r="E87" t="s">
        <v>60</v>
      </c>
      <c r="F87" s="5">
        <v>45860</v>
      </c>
      <c r="G87" s="5">
        <v>45919</v>
      </c>
      <c r="H87" t="s">
        <v>75</v>
      </c>
      <c r="I87">
        <v>2025</v>
      </c>
      <c r="J87">
        <v>59</v>
      </c>
      <c r="K87" t="s">
        <v>19</v>
      </c>
      <c r="L87" t="s">
        <v>26</v>
      </c>
      <c r="M87">
        <v>4</v>
      </c>
      <c r="N87" t="s">
        <v>19</v>
      </c>
      <c r="O87">
        <v>4000</v>
      </c>
      <c r="P87" t="str" cm="1">
        <f t="array" ref="P87">_xlfn.IFS(Hospital_Patient[[#This Row],[Age]]&lt;=18,"Young",Hospital_Patient[[#This Row],[Age]]&lt;=36,"Adult",Hospital_Patient[[#This Row],[Age]]&lt;=60,"Middle Age",Hospital_Patient[[#This Row],[Age]]&gt;60,"Senior")</f>
        <v>Senior</v>
      </c>
      <c r="Q87" t="str" cm="1">
        <f t="array" ref="Q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7">
        <f>YEAR(Hospital_Patient[[#This Row],[Discharge_Date]])</f>
        <v>2025</v>
      </c>
    </row>
    <row r="88" spans="1:18" x14ac:dyDescent="0.25">
      <c r="A88">
        <v>806</v>
      </c>
      <c r="B88">
        <v>78</v>
      </c>
      <c r="C88" t="s">
        <v>15</v>
      </c>
      <c r="D88" t="s">
        <v>45</v>
      </c>
      <c r="E88" t="s">
        <v>46</v>
      </c>
      <c r="F88" s="5">
        <v>45857</v>
      </c>
      <c r="G88" s="5">
        <v>45919</v>
      </c>
      <c r="H88" t="s">
        <v>69</v>
      </c>
      <c r="I88">
        <v>2025</v>
      </c>
      <c r="J88">
        <v>62</v>
      </c>
      <c r="K88" t="s">
        <v>21</v>
      </c>
      <c r="L88" t="s">
        <v>26</v>
      </c>
      <c r="M88">
        <v>2</v>
      </c>
      <c r="N88" t="s">
        <v>19</v>
      </c>
      <c r="O88">
        <v>18000</v>
      </c>
      <c r="P88" t="str" cm="1">
        <f t="array" ref="P88">_xlfn.IFS(Hospital_Patient[[#This Row],[Age]]&lt;=18,"Young",Hospital_Patient[[#This Row],[Age]]&lt;=36,"Adult",Hospital_Patient[[#This Row],[Age]]&lt;=60,"Middle Age",Hospital_Patient[[#This Row],[Age]]&gt;60,"Senior")</f>
        <v>Senior</v>
      </c>
      <c r="Q88" t="str" cm="1">
        <f t="array" ref="Q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8">
        <f>YEAR(Hospital_Patient[[#This Row],[Discharge_Date]])</f>
        <v>2025</v>
      </c>
    </row>
    <row r="89" spans="1:18" x14ac:dyDescent="0.25">
      <c r="A89">
        <v>349</v>
      </c>
      <c r="B89">
        <v>75</v>
      </c>
      <c r="C89" t="s">
        <v>15</v>
      </c>
      <c r="D89" t="s">
        <v>45</v>
      </c>
      <c r="E89" t="s">
        <v>46</v>
      </c>
      <c r="F89" s="5">
        <v>45887</v>
      </c>
      <c r="G89" s="5">
        <v>45918</v>
      </c>
      <c r="H89" t="s">
        <v>69</v>
      </c>
      <c r="I89">
        <v>2025</v>
      </c>
      <c r="J89">
        <v>31</v>
      </c>
      <c r="K89" t="s">
        <v>21</v>
      </c>
      <c r="L89" t="s">
        <v>26</v>
      </c>
      <c r="M89">
        <v>2</v>
      </c>
      <c r="N89" t="s">
        <v>19</v>
      </c>
      <c r="O89">
        <v>18000</v>
      </c>
      <c r="P89" t="str" cm="1">
        <f t="array" ref="P89">_xlfn.IFS(Hospital_Patient[[#This Row],[Age]]&lt;=18,"Young",Hospital_Patient[[#This Row],[Age]]&lt;=36,"Adult",Hospital_Patient[[#This Row],[Age]]&lt;=60,"Middle Age",Hospital_Patient[[#This Row],[Age]]&gt;60,"Senior")</f>
        <v>Senior</v>
      </c>
      <c r="Q89" t="str" cm="1">
        <f t="array" ref="Q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
        <f>YEAR(Hospital_Patient[[#This Row],[Discharge_Date]])</f>
        <v>2025</v>
      </c>
    </row>
    <row r="90" spans="1:18" hidden="1" x14ac:dyDescent="0.25">
      <c r="A90">
        <v>76</v>
      </c>
      <c r="B90">
        <v>62</v>
      </c>
      <c r="C90" t="s">
        <v>22</v>
      </c>
      <c r="D90" t="s">
        <v>23</v>
      </c>
      <c r="E90" t="s">
        <v>24</v>
      </c>
      <c r="F90" s="5">
        <v>45909</v>
      </c>
      <c r="G90" s="5">
        <v>45917</v>
      </c>
      <c r="H90" t="s">
        <v>18</v>
      </c>
      <c r="I90">
        <v>2025</v>
      </c>
      <c r="J90">
        <v>8</v>
      </c>
      <c r="K90" t="s">
        <v>19</v>
      </c>
      <c r="L90" t="s">
        <v>26</v>
      </c>
      <c r="M90">
        <v>4</v>
      </c>
      <c r="N90" t="s">
        <v>21</v>
      </c>
      <c r="O90">
        <v>2000</v>
      </c>
      <c r="P90" t="str" cm="1">
        <f t="array" ref="P90">_xlfn.IFS(Hospital_Patient[[#This Row],[Age]]&lt;=18,"Young",Hospital_Patient[[#This Row],[Age]]&lt;=36,"Adult",Hospital_Patient[[#This Row],[Age]]&lt;=60,"Middle Age",Hospital_Patient[[#This Row],[Age]]&gt;60,"Senior")</f>
        <v>Senior</v>
      </c>
      <c r="Q90" t="str" cm="1">
        <f t="array" ref="Q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0">
        <f>YEAR(Hospital_Patient[[#This Row],[Discharge_Date]])</f>
        <v>2025</v>
      </c>
    </row>
    <row r="91" spans="1:18" x14ac:dyDescent="0.25">
      <c r="A91">
        <v>972</v>
      </c>
      <c r="B91">
        <v>35</v>
      </c>
      <c r="C91" t="s">
        <v>15</v>
      </c>
      <c r="D91" t="s">
        <v>54</v>
      </c>
      <c r="E91" t="s">
        <v>55</v>
      </c>
      <c r="F91" s="5">
        <v>45848</v>
      </c>
      <c r="G91" s="5">
        <v>45916</v>
      </c>
      <c r="H91" t="s">
        <v>56</v>
      </c>
      <c r="I91">
        <v>2025</v>
      </c>
      <c r="J91">
        <v>68</v>
      </c>
      <c r="K91" t="s">
        <v>19</v>
      </c>
      <c r="L91" t="s">
        <v>20</v>
      </c>
      <c r="M91">
        <v>4</v>
      </c>
      <c r="N91" t="s">
        <v>21</v>
      </c>
      <c r="O91">
        <v>12000</v>
      </c>
      <c r="P91" t="str" cm="1">
        <f t="array" ref="P91">_xlfn.IFS(Hospital_Patient[[#This Row],[Age]]&lt;=18,"Young",Hospital_Patient[[#This Row],[Age]]&lt;=36,"Adult",Hospital_Patient[[#This Row],[Age]]&lt;=60,"Middle Age",Hospital_Patient[[#This Row],[Age]]&gt;60,"Senior")</f>
        <v>Adult</v>
      </c>
      <c r="Q91" t="str" cm="1">
        <f t="array" ref="Q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1">
        <f>YEAR(Hospital_Patient[[#This Row],[Discharge_Date]])</f>
        <v>2025</v>
      </c>
    </row>
    <row r="92" spans="1:18" hidden="1" x14ac:dyDescent="0.25">
      <c r="A92">
        <v>200</v>
      </c>
      <c r="B92">
        <v>45</v>
      </c>
      <c r="C92" t="s">
        <v>22</v>
      </c>
      <c r="D92" t="s">
        <v>42</v>
      </c>
      <c r="E92" t="s">
        <v>43</v>
      </c>
      <c r="F92" s="5">
        <v>45884</v>
      </c>
      <c r="G92" s="5">
        <v>45903</v>
      </c>
      <c r="H92" t="s">
        <v>71</v>
      </c>
      <c r="I92">
        <v>2025</v>
      </c>
      <c r="J92">
        <v>19</v>
      </c>
      <c r="K92" t="s">
        <v>19</v>
      </c>
      <c r="L92" t="s">
        <v>20</v>
      </c>
      <c r="M92">
        <v>4</v>
      </c>
      <c r="N92" t="s">
        <v>19</v>
      </c>
      <c r="O92">
        <v>3000</v>
      </c>
      <c r="P92" t="str" cm="1">
        <f t="array" ref="P92">_xlfn.IFS(Hospital_Patient[[#This Row],[Age]]&lt;=18,"Young",Hospital_Patient[[#This Row],[Age]]&lt;=36,"Adult",Hospital_Patient[[#This Row],[Age]]&lt;=60,"Middle Age",Hospital_Patient[[#This Row],[Age]]&gt;60,"Senior")</f>
        <v>Middle Age</v>
      </c>
      <c r="Q92" t="str" cm="1">
        <f t="array" ref="Q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2">
        <f>YEAR(Hospital_Patient[[#This Row],[Discharge_Date]])</f>
        <v>2025</v>
      </c>
    </row>
    <row r="93" spans="1:18" hidden="1" x14ac:dyDescent="0.25">
      <c r="A93">
        <v>700</v>
      </c>
      <c r="B93">
        <v>72</v>
      </c>
      <c r="C93" t="s">
        <v>22</v>
      </c>
      <c r="D93" t="s">
        <v>36</v>
      </c>
      <c r="E93" t="s">
        <v>37</v>
      </c>
      <c r="F93" s="5">
        <v>45851</v>
      </c>
      <c r="G93" s="5">
        <v>45902</v>
      </c>
      <c r="H93" t="s">
        <v>69</v>
      </c>
      <c r="I93">
        <v>2025</v>
      </c>
      <c r="J93">
        <v>51</v>
      </c>
      <c r="K93" t="s">
        <v>19</v>
      </c>
      <c r="L93" t="s">
        <v>26</v>
      </c>
      <c r="M93">
        <v>4</v>
      </c>
      <c r="N93" t="s">
        <v>19</v>
      </c>
      <c r="O93">
        <v>1000</v>
      </c>
      <c r="P93" t="str" cm="1">
        <f t="array" ref="P93">_xlfn.IFS(Hospital_Patient[[#This Row],[Age]]&lt;=18,"Young",Hospital_Patient[[#This Row],[Age]]&lt;=36,"Adult",Hospital_Patient[[#This Row],[Age]]&lt;=60,"Middle Age",Hospital_Patient[[#This Row],[Age]]&gt;60,"Senior")</f>
        <v>Senior</v>
      </c>
      <c r="Q93" t="str" cm="1">
        <f t="array" ref="Q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
        <f>YEAR(Hospital_Patient[[#This Row],[Discharge_Date]])</f>
        <v>2025</v>
      </c>
    </row>
    <row r="94" spans="1:18" hidden="1" x14ac:dyDescent="0.25">
      <c r="A94">
        <v>908</v>
      </c>
      <c r="B94">
        <v>45</v>
      </c>
      <c r="C94" t="s">
        <v>22</v>
      </c>
      <c r="D94" t="s">
        <v>42</v>
      </c>
      <c r="E94" t="s">
        <v>43</v>
      </c>
      <c r="F94" s="5">
        <v>45833</v>
      </c>
      <c r="G94" s="5">
        <v>45900</v>
      </c>
      <c r="H94" t="s">
        <v>71</v>
      </c>
      <c r="I94">
        <v>2025</v>
      </c>
      <c r="J94">
        <v>67</v>
      </c>
      <c r="K94" t="s">
        <v>19</v>
      </c>
      <c r="L94" t="s">
        <v>20</v>
      </c>
      <c r="M94">
        <v>4</v>
      </c>
      <c r="N94" t="s">
        <v>19</v>
      </c>
      <c r="O94">
        <v>3000</v>
      </c>
      <c r="P94" t="str" cm="1">
        <f t="array" ref="P94">_xlfn.IFS(Hospital_Patient[[#This Row],[Age]]&lt;=18,"Young",Hospital_Patient[[#This Row],[Age]]&lt;=36,"Adult",Hospital_Patient[[#This Row],[Age]]&lt;=60,"Middle Age",Hospital_Patient[[#This Row],[Age]]&gt;60,"Senior")</f>
        <v>Middle Age</v>
      </c>
      <c r="Q94" t="str" cm="1">
        <f t="array" ref="Q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4">
        <f>YEAR(Hospital_Patient[[#This Row],[Discharge_Date]])</f>
        <v>2025</v>
      </c>
    </row>
    <row r="95" spans="1:18" x14ac:dyDescent="0.25">
      <c r="A95">
        <v>747</v>
      </c>
      <c r="B95">
        <v>78</v>
      </c>
      <c r="C95" t="s">
        <v>15</v>
      </c>
      <c r="D95" t="s">
        <v>45</v>
      </c>
      <c r="E95" t="s">
        <v>46</v>
      </c>
      <c r="F95" s="5">
        <v>45841</v>
      </c>
      <c r="G95" s="5">
        <v>45899</v>
      </c>
      <c r="H95" t="s">
        <v>69</v>
      </c>
      <c r="I95">
        <v>2025</v>
      </c>
      <c r="J95">
        <v>58</v>
      </c>
      <c r="K95" t="s">
        <v>21</v>
      </c>
      <c r="L95" t="s">
        <v>26</v>
      </c>
      <c r="M95">
        <v>2</v>
      </c>
      <c r="N95" t="s">
        <v>19</v>
      </c>
      <c r="O95">
        <v>18000</v>
      </c>
      <c r="P95" t="str" cm="1">
        <f t="array" ref="P95">_xlfn.IFS(Hospital_Patient[[#This Row],[Age]]&lt;=18,"Young",Hospital_Patient[[#This Row],[Age]]&lt;=36,"Adult",Hospital_Patient[[#This Row],[Age]]&lt;=60,"Middle Age",Hospital_Patient[[#This Row],[Age]]&gt;60,"Senior")</f>
        <v>Senior</v>
      </c>
      <c r="Q95" t="str" cm="1">
        <f t="array" ref="Q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
        <f>YEAR(Hospital_Patient[[#This Row],[Discharge_Date]])</f>
        <v>2025</v>
      </c>
    </row>
    <row r="96" spans="1:18" hidden="1" x14ac:dyDescent="0.25">
      <c r="A96">
        <v>434</v>
      </c>
      <c r="B96">
        <v>72</v>
      </c>
      <c r="C96" t="s">
        <v>22</v>
      </c>
      <c r="D96" t="s">
        <v>36</v>
      </c>
      <c r="E96" t="s">
        <v>37</v>
      </c>
      <c r="F96" s="5">
        <v>45866</v>
      </c>
      <c r="G96" s="5">
        <v>45897</v>
      </c>
      <c r="H96" t="s">
        <v>38</v>
      </c>
      <c r="I96">
        <v>2025</v>
      </c>
      <c r="J96">
        <v>31</v>
      </c>
      <c r="K96" t="s">
        <v>19</v>
      </c>
      <c r="L96" t="s">
        <v>26</v>
      </c>
      <c r="M96">
        <v>4</v>
      </c>
      <c r="N96" t="s">
        <v>21</v>
      </c>
      <c r="O96">
        <v>1000</v>
      </c>
      <c r="P96" t="str" cm="1">
        <f t="array" ref="P96">_xlfn.IFS(Hospital_Patient[[#This Row],[Age]]&lt;=18,"Young",Hospital_Patient[[#This Row],[Age]]&lt;=36,"Adult",Hospital_Patient[[#This Row],[Age]]&lt;=60,"Middle Age",Hospital_Patient[[#This Row],[Age]]&gt;60,"Senior")</f>
        <v>Senior</v>
      </c>
      <c r="Q96" t="str" cm="1">
        <f t="array" ref="Q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
        <f>YEAR(Hospital_Patient[[#This Row],[Discharge_Date]])</f>
        <v>2025</v>
      </c>
    </row>
    <row r="97" spans="1:18" hidden="1" x14ac:dyDescent="0.25">
      <c r="A97">
        <v>396</v>
      </c>
      <c r="B97">
        <v>58</v>
      </c>
      <c r="C97" t="s">
        <v>22</v>
      </c>
      <c r="D97" t="s">
        <v>52</v>
      </c>
      <c r="E97" t="s">
        <v>53</v>
      </c>
      <c r="F97" s="5">
        <v>45862</v>
      </c>
      <c r="G97" s="5">
        <v>45897</v>
      </c>
      <c r="H97" t="s">
        <v>51</v>
      </c>
      <c r="I97">
        <v>2025</v>
      </c>
      <c r="J97">
        <v>35</v>
      </c>
      <c r="K97" t="s">
        <v>19</v>
      </c>
      <c r="L97" t="s">
        <v>20</v>
      </c>
      <c r="M97">
        <v>3</v>
      </c>
      <c r="N97" t="s">
        <v>19</v>
      </c>
      <c r="O97">
        <v>20000</v>
      </c>
      <c r="P97" t="str" cm="1">
        <f t="array" ref="P97">_xlfn.IFS(Hospital_Patient[[#This Row],[Age]]&lt;=18,"Young",Hospital_Patient[[#This Row],[Age]]&lt;=36,"Adult",Hospital_Patient[[#This Row],[Age]]&lt;=60,"Middle Age",Hospital_Patient[[#This Row],[Age]]&gt;60,"Senior")</f>
        <v>Middle Age</v>
      </c>
      <c r="Q97" t="str" cm="1">
        <f t="array" ref="Q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7">
        <f>YEAR(Hospital_Patient[[#This Row],[Discharge_Date]])</f>
        <v>2025</v>
      </c>
    </row>
    <row r="98" spans="1:18" x14ac:dyDescent="0.25">
      <c r="A98">
        <v>503</v>
      </c>
      <c r="B98">
        <v>48</v>
      </c>
      <c r="C98" t="s">
        <v>15</v>
      </c>
      <c r="D98" t="s">
        <v>16</v>
      </c>
      <c r="E98" t="s">
        <v>17</v>
      </c>
      <c r="F98" s="5">
        <v>45857</v>
      </c>
      <c r="G98" s="5">
        <v>45896</v>
      </c>
      <c r="H98" t="s">
        <v>69</v>
      </c>
      <c r="I98">
        <v>2025</v>
      </c>
      <c r="J98">
        <v>39</v>
      </c>
      <c r="K98" t="s">
        <v>21</v>
      </c>
      <c r="L98" t="s">
        <v>20</v>
      </c>
      <c r="M98">
        <v>4</v>
      </c>
      <c r="N98" t="s">
        <v>21</v>
      </c>
      <c r="O98">
        <v>15000</v>
      </c>
      <c r="P98" t="str" cm="1">
        <f t="array" ref="P98">_xlfn.IFS(Hospital_Patient[[#This Row],[Age]]&lt;=18,"Young",Hospital_Patient[[#This Row],[Age]]&lt;=36,"Adult",Hospital_Patient[[#This Row],[Age]]&lt;=60,"Middle Age",Hospital_Patient[[#This Row],[Age]]&gt;60,"Senior")</f>
        <v>Middle Age</v>
      </c>
      <c r="Q98" t="str" cm="1">
        <f t="array" ref="Q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8">
        <f>YEAR(Hospital_Patient[[#This Row],[Discharge_Date]])</f>
        <v>2025</v>
      </c>
    </row>
    <row r="99" spans="1:18" x14ac:dyDescent="0.25">
      <c r="A99">
        <v>170</v>
      </c>
      <c r="B99">
        <v>60</v>
      </c>
      <c r="C99" t="s">
        <v>15</v>
      </c>
      <c r="D99" t="s">
        <v>39</v>
      </c>
      <c r="E99" t="s">
        <v>40</v>
      </c>
      <c r="F99" s="5">
        <v>45878</v>
      </c>
      <c r="G99" s="5">
        <v>45893</v>
      </c>
      <c r="H99" t="s">
        <v>18</v>
      </c>
      <c r="I99">
        <v>2025</v>
      </c>
      <c r="J99">
        <v>15</v>
      </c>
      <c r="K99" t="s">
        <v>21</v>
      </c>
      <c r="L99" t="s">
        <v>20</v>
      </c>
      <c r="M99">
        <v>3</v>
      </c>
      <c r="N99" t="s">
        <v>19</v>
      </c>
      <c r="O99">
        <v>8000</v>
      </c>
      <c r="P99" t="str" cm="1">
        <f t="array" ref="P99">_xlfn.IFS(Hospital_Patient[[#This Row],[Age]]&lt;=18,"Young",Hospital_Patient[[#This Row],[Age]]&lt;=36,"Adult",Hospital_Patient[[#This Row],[Age]]&lt;=60,"Middle Age",Hospital_Patient[[#This Row],[Age]]&gt;60,"Senior")</f>
        <v>Middle Age</v>
      </c>
      <c r="Q99" t="str" cm="1">
        <f t="array" ref="Q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9">
        <f>YEAR(Hospital_Patient[[#This Row],[Discharge_Date]])</f>
        <v>2025</v>
      </c>
    </row>
    <row r="100" spans="1:18" x14ac:dyDescent="0.25">
      <c r="A100">
        <v>332</v>
      </c>
      <c r="B100">
        <v>45</v>
      </c>
      <c r="C100" t="s">
        <v>15</v>
      </c>
      <c r="D100" t="s">
        <v>39</v>
      </c>
      <c r="E100" t="s">
        <v>40</v>
      </c>
      <c r="F100" s="5">
        <v>45867</v>
      </c>
      <c r="G100" s="5">
        <v>45893</v>
      </c>
      <c r="H100" t="s">
        <v>65</v>
      </c>
      <c r="I100">
        <v>2025</v>
      </c>
      <c r="J100">
        <v>26</v>
      </c>
      <c r="K100" t="s">
        <v>19</v>
      </c>
      <c r="L100" t="s">
        <v>20</v>
      </c>
      <c r="M100">
        <v>3</v>
      </c>
      <c r="N100" t="s">
        <v>21</v>
      </c>
      <c r="O100">
        <v>8000</v>
      </c>
      <c r="P100" t="str" cm="1">
        <f t="array" ref="P100">_xlfn.IFS(Hospital_Patient[[#This Row],[Age]]&lt;=18,"Young",Hospital_Patient[[#This Row],[Age]]&lt;=36,"Adult",Hospital_Patient[[#This Row],[Age]]&lt;=60,"Middle Age",Hospital_Patient[[#This Row],[Age]]&gt;60,"Senior")</f>
        <v>Middle Age</v>
      </c>
      <c r="Q100" t="str" cm="1">
        <f t="array" ref="Q1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00">
        <f>YEAR(Hospital_Patient[[#This Row],[Discharge_Date]])</f>
        <v>2025</v>
      </c>
    </row>
    <row r="101" spans="1:18" hidden="1" x14ac:dyDescent="0.25">
      <c r="A101">
        <v>877</v>
      </c>
      <c r="B101">
        <v>72</v>
      </c>
      <c r="C101" t="s">
        <v>22</v>
      </c>
      <c r="D101" t="s">
        <v>36</v>
      </c>
      <c r="E101" t="s">
        <v>37</v>
      </c>
      <c r="F101" s="5">
        <v>45830</v>
      </c>
      <c r="G101" s="5">
        <v>45893</v>
      </c>
      <c r="H101" t="s">
        <v>79</v>
      </c>
      <c r="I101">
        <v>2025</v>
      </c>
      <c r="J101">
        <v>63</v>
      </c>
      <c r="K101" t="s">
        <v>19</v>
      </c>
      <c r="L101" t="s">
        <v>26</v>
      </c>
      <c r="M101">
        <v>4</v>
      </c>
      <c r="N101" t="s">
        <v>21</v>
      </c>
      <c r="O101">
        <v>1000</v>
      </c>
      <c r="P101" t="str" cm="1">
        <f t="array" ref="P101">_xlfn.IFS(Hospital_Patient[[#This Row],[Age]]&lt;=18,"Young",Hospital_Patient[[#This Row],[Age]]&lt;=36,"Adult",Hospital_Patient[[#This Row],[Age]]&lt;=60,"Middle Age",Hospital_Patient[[#This Row],[Age]]&gt;60,"Senior")</f>
        <v>Senior</v>
      </c>
      <c r="Q101" t="str" cm="1">
        <f t="array" ref="Q1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01">
        <f>YEAR(Hospital_Patient[[#This Row],[Discharge_Date]])</f>
        <v>2025</v>
      </c>
    </row>
    <row r="102" spans="1:18" x14ac:dyDescent="0.25">
      <c r="A102">
        <v>260</v>
      </c>
      <c r="B102">
        <v>75</v>
      </c>
      <c r="C102" t="s">
        <v>15</v>
      </c>
      <c r="D102" t="s">
        <v>45</v>
      </c>
      <c r="E102" t="s">
        <v>46</v>
      </c>
      <c r="F102" s="5">
        <v>45867</v>
      </c>
      <c r="G102" s="5">
        <v>45892</v>
      </c>
      <c r="H102" t="s">
        <v>65</v>
      </c>
      <c r="I102">
        <v>2025</v>
      </c>
      <c r="J102">
        <v>25</v>
      </c>
      <c r="K102" t="s">
        <v>21</v>
      </c>
      <c r="L102" t="s">
        <v>26</v>
      </c>
      <c r="M102">
        <v>2</v>
      </c>
      <c r="N102" t="s">
        <v>19</v>
      </c>
      <c r="O102">
        <v>18000</v>
      </c>
      <c r="P102" t="str" cm="1">
        <f t="array" ref="P102">_xlfn.IFS(Hospital_Patient[[#This Row],[Age]]&lt;=18,"Young",Hospital_Patient[[#This Row],[Age]]&lt;=36,"Adult",Hospital_Patient[[#This Row],[Age]]&lt;=60,"Middle Age",Hospital_Patient[[#This Row],[Age]]&gt;60,"Senior")</f>
        <v>Senior</v>
      </c>
      <c r="Q102" t="str" cm="1">
        <f t="array" ref="Q1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02">
        <f>YEAR(Hospital_Patient[[#This Row],[Discharge_Date]])</f>
        <v>2025</v>
      </c>
    </row>
    <row r="103" spans="1:18" x14ac:dyDescent="0.25">
      <c r="A103">
        <v>756</v>
      </c>
      <c r="B103">
        <v>35</v>
      </c>
      <c r="C103" t="s">
        <v>15</v>
      </c>
      <c r="D103" t="s">
        <v>27</v>
      </c>
      <c r="E103" t="s">
        <v>28</v>
      </c>
      <c r="F103" s="5">
        <v>45837</v>
      </c>
      <c r="G103" s="5">
        <v>45889</v>
      </c>
      <c r="H103" t="s">
        <v>70</v>
      </c>
      <c r="I103">
        <v>2025</v>
      </c>
      <c r="J103">
        <v>52</v>
      </c>
      <c r="K103" t="s">
        <v>21</v>
      </c>
      <c r="L103" t="s">
        <v>20</v>
      </c>
      <c r="M103">
        <v>5</v>
      </c>
      <c r="N103" t="s">
        <v>19</v>
      </c>
      <c r="O103">
        <v>500</v>
      </c>
      <c r="P103" t="str" cm="1">
        <f t="array" ref="P103">_xlfn.IFS(Hospital_Patient[[#This Row],[Age]]&lt;=18,"Young",Hospital_Patient[[#This Row],[Age]]&lt;=36,"Adult",Hospital_Patient[[#This Row],[Age]]&lt;=60,"Middle Age",Hospital_Patient[[#This Row],[Age]]&gt;60,"Senior")</f>
        <v>Adult</v>
      </c>
      <c r="Q103" t="str" cm="1">
        <f t="array" ref="Q1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03">
        <f>YEAR(Hospital_Patient[[#This Row],[Discharge_Date]])</f>
        <v>2025</v>
      </c>
    </row>
    <row r="104" spans="1:18" x14ac:dyDescent="0.25">
      <c r="A104">
        <v>105</v>
      </c>
      <c r="B104">
        <v>55</v>
      </c>
      <c r="C104" t="s">
        <v>15</v>
      </c>
      <c r="D104" t="s">
        <v>16</v>
      </c>
      <c r="E104" t="s">
        <v>17</v>
      </c>
      <c r="F104" s="5">
        <v>45876</v>
      </c>
      <c r="G104" s="5">
        <v>45888</v>
      </c>
      <c r="H104" t="s">
        <v>69</v>
      </c>
      <c r="I104">
        <v>2025</v>
      </c>
      <c r="J104">
        <v>12</v>
      </c>
      <c r="K104" t="s">
        <v>21</v>
      </c>
      <c r="L104" t="s">
        <v>20</v>
      </c>
      <c r="M104">
        <v>3</v>
      </c>
      <c r="N104" t="s">
        <v>21</v>
      </c>
      <c r="O104">
        <v>15000</v>
      </c>
      <c r="P104" t="str" cm="1">
        <f t="array" ref="P104">_xlfn.IFS(Hospital_Patient[[#This Row],[Age]]&lt;=18,"Young",Hospital_Patient[[#This Row],[Age]]&lt;=36,"Adult",Hospital_Patient[[#This Row],[Age]]&lt;=60,"Middle Age",Hospital_Patient[[#This Row],[Age]]&gt;60,"Senior")</f>
        <v>Middle Age</v>
      </c>
      <c r="Q104" t="str" cm="1">
        <f t="array" ref="Q1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04">
        <f>YEAR(Hospital_Patient[[#This Row],[Discharge_Date]])</f>
        <v>2025</v>
      </c>
    </row>
    <row r="105" spans="1:18" hidden="1" x14ac:dyDescent="0.25">
      <c r="A105">
        <v>879</v>
      </c>
      <c r="B105">
        <v>45</v>
      </c>
      <c r="C105" t="s">
        <v>22</v>
      </c>
      <c r="D105" t="s">
        <v>42</v>
      </c>
      <c r="E105" t="s">
        <v>43</v>
      </c>
      <c r="F105" s="5">
        <v>45821</v>
      </c>
      <c r="G105" s="5">
        <v>45886</v>
      </c>
      <c r="H105" t="s">
        <v>71</v>
      </c>
      <c r="I105">
        <v>2025</v>
      </c>
      <c r="J105">
        <v>65</v>
      </c>
      <c r="K105" t="s">
        <v>19</v>
      </c>
      <c r="L105" t="s">
        <v>20</v>
      </c>
      <c r="M105">
        <v>4</v>
      </c>
      <c r="N105" t="s">
        <v>19</v>
      </c>
      <c r="O105">
        <v>3000</v>
      </c>
      <c r="P105" t="str" cm="1">
        <f t="array" ref="P105">_xlfn.IFS(Hospital_Patient[[#This Row],[Age]]&lt;=18,"Young",Hospital_Patient[[#This Row],[Age]]&lt;=36,"Adult",Hospital_Patient[[#This Row],[Age]]&lt;=60,"Middle Age",Hospital_Patient[[#This Row],[Age]]&gt;60,"Senior")</f>
        <v>Middle Age</v>
      </c>
      <c r="Q105" t="str" cm="1">
        <f t="array" ref="Q1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05">
        <f>YEAR(Hospital_Patient[[#This Row],[Discharge_Date]])</f>
        <v>2025</v>
      </c>
    </row>
    <row r="106" spans="1:18" x14ac:dyDescent="0.25">
      <c r="A106">
        <v>865</v>
      </c>
      <c r="B106">
        <v>78</v>
      </c>
      <c r="C106" t="s">
        <v>15</v>
      </c>
      <c r="D106" t="s">
        <v>45</v>
      </c>
      <c r="E106" t="s">
        <v>46</v>
      </c>
      <c r="F106" s="5">
        <v>45820</v>
      </c>
      <c r="G106" s="5">
        <v>45886</v>
      </c>
      <c r="H106" t="s">
        <v>65</v>
      </c>
      <c r="I106">
        <v>2025</v>
      </c>
      <c r="J106">
        <v>66</v>
      </c>
      <c r="K106" t="s">
        <v>21</v>
      </c>
      <c r="L106" t="s">
        <v>26</v>
      </c>
      <c r="M106">
        <v>2</v>
      </c>
      <c r="N106" t="s">
        <v>19</v>
      </c>
      <c r="O106">
        <v>18000</v>
      </c>
      <c r="P106" t="str" cm="1">
        <f t="array" ref="P106">_xlfn.IFS(Hospital_Patient[[#This Row],[Age]]&lt;=18,"Young",Hospital_Patient[[#This Row],[Age]]&lt;=36,"Adult",Hospital_Patient[[#This Row],[Age]]&lt;=60,"Middle Age",Hospital_Patient[[#This Row],[Age]]&gt;60,"Senior")</f>
        <v>Senior</v>
      </c>
      <c r="Q106" t="str" cm="1">
        <f t="array" ref="Q1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06">
        <f>YEAR(Hospital_Patient[[#This Row],[Discharge_Date]])</f>
        <v>2025</v>
      </c>
    </row>
    <row r="107" spans="1:18" hidden="1" x14ac:dyDescent="0.25">
      <c r="A107">
        <v>230</v>
      </c>
      <c r="B107">
        <v>45</v>
      </c>
      <c r="C107" t="s">
        <v>22</v>
      </c>
      <c r="D107" t="s">
        <v>42</v>
      </c>
      <c r="E107" t="s">
        <v>43</v>
      </c>
      <c r="F107" s="5">
        <v>45863</v>
      </c>
      <c r="G107" s="5">
        <v>45884</v>
      </c>
      <c r="H107" t="s">
        <v>70</v>
      </c>
      <c r="I107">
        <v>2025</v>
      </c>
      <c r="J107">
        <v>21</v>
      </c>
      <c r="K107" t="s">
        <v>19</v>
      </c>
      <c r="L107" t="s">
        <v>20</v>
      </c>
      <c r="M107">
        <v>4</v>
      </c>
      <c r="N107" t="s">
        <v>21</v>
      </c>
      <c r="O107">
        <v>3000</v>
      </c>
      <c r="P107" t="str" cm="1">
        <f t="array" ref="P107">_xlfn.IFS(Hospital_Patient[[#This Row],[Age]]&lt;=18,"Young",Hospital_Patient[[#This Row],[Age]]&lt;=36,"Adult",Hospital_Patient[[#This Row],[Age]]&lt;=60,"Middle Age",Hospital_Patient[[#This Row],[Age]]&gt;60,"Senior")</f>
        <v>Middle Age</v>
      </c>
      <c r="Q107" t="str" cm="1">
        <f t="array" ref="Q1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07">
        <f>YEAR(Hospital_Patient[[#This Row],[Discharge_Date]])</f>
        <v>2025</v>
      </c>
    </row>
    <row r="108" spans="1:18" x14ac:dyDescent="0.25">
      <c r="A108">
        <v>901</v>
      </c>
      <c r="B108">
        <v>55</v>
      </c>
      <c r="C108" t="s">
        <v>15</v>
      </c>
      <c r="D108" t="s">
        <v>16</v>
      </c>
      <c r="E108" t="s">
        <v>17</v>
      </c>
      <c r="F108" s="5">
        <v>45816</v>
      </c>
      <c r="G108" s="5">
        <v>45882</v>
      </c>
      <c r="H108" t="s">
        <v>73</v>
      </c>
      <c r="I108">
        <v>2025</v>
      </c>
      <c r="J108">
        <v>66</v>
      </c>
      <c r="K108" t="s">
        <v>21</v>
      </c>
      <c r="L108" t="s">
        <v>20</v>
      </c>
      <c r="M108">
        <v>3</v>
      </c>
      <c r="N108" t="s">
        <v>19</v>
      </c>
      <c r="O108">
        <v>15000</v>
      </c>
      <c r="P108" t="str" cm="1">
        <f t="array" ref="P108">_xlfn.IFS(Hospital_Patient[[#This Row],[Age]]&lt;=18,"Young",Hospital_Patient[[#This Row],[Age]]&lt;=36,"Adult",Hospital_Patient[[#This Row],[Age]]&lt;=60,"Middle Age",Hospital_Patient[[#This Row],[Age]]&gt;60,"Senior")</f>
        <v>Middle Age</v>
      </c>
      <c r="Q108" t="str" cm="1">
        <f t="array" ref="Q1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08">
        <f>YEAR(Hospital_Patient[[#This Row],[Discharge_Date]])</f>
        <v>2025</v>
      </c>
    </row>
    <row r="109" spans="1:18" hidden="1" x14ac:dyDescent="0.25">
      <c r="A109">
        <v>44</v>
      </c>
      <c r="B109">
        <v>55</v>
      </c>
      <c r="C109" t="s">
        <v>22</v>
      </c>
      <c r="D109" t="s">
        <v>57</v>
      </c>
      <c r="E109" t="s">
        <v>58</v>
      </c>
      <c r="F109" s="5">
        <v>45875</v>
      </c>
      <c r="G109" s="5">
        <v>45881</v>
      </c>
      <c r="H109" t="s">
        <v>51</v>
      </c>
      <c r="I109">
        <v>2025</v>
      </c>
      <c r="J109">
        <v>6</v>
      </c>
      <c r="K109" t="s">
        <v>19</v>
      </c>
      <c r="L109" t="s">
        <v>20</v>
      </c>
      <c r="M109">
        <v>3</v>
      </c>
      <c r="N109" t="s">
        <v>21</v>
      </c>
      <c r="O109">
        <v>6000</v>
      </c>
      <c r="P109" t="str" cm="1">
        <f t="array" ref="P109">_xlfn.IFS(Hospital_Patient[[#This Row],[Age]]&lt;=18,"Young",Hospital_Patient[[#This Row],[Age]]&lt;=36,"Adult",Hospital_Patient[[#This Row],[Age]]&lt;=60,"Middle Age",Hospital_Patient[[#This Row],[Age]]&gt;60,"Senior")</f>
        <v>Middle Age</v>
      </c>
      <c r="Q109" t="str" cm="1">
        <f t="array" ref="Q1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09">
        <f>YEAR(Hospital_Patient[[#This Row],[Discharge_Date]])</f>
        <v>2025</v>
      </c>
    </row>
    <row r="110" spans="1:18" x14ac:dyDescent="0.25">
      <c r="A110">
        <v>399</v>
      </c>
      <c r="B110">
        <v>65</v>
      </c>
      <c r="C110" t="s">
        <v>15</v>
      </c>
      <c r="D110" t="s">
        <v>59</v>
      </c>
      <c r="E110" t="s">
        <v>60</v>
      </c>
      <c r="F110" s="5">
        <v>45848</v>
      </c>
      <c r="G110" s="5">
        <v>45879</v>
      </c>
      <c r="H110" t="s">
        <v>75</v>
      </c>
      <c r="I110">
        <v>2025</v>
      </c>
      <c r="J110">
        <v>31</v>
      </c>
      <c r="K110" t="s">
        <v>19</v>
      </c>
      <c r="L110" t="s">
        <v>26</v>
      </c>
      <c r="M110">
        <v>4</v>
      </c>
      <c r="N110" t="s">
        <v>19</v>
      </c>
      <c r="O110">
        <v>4000</v>
      </c>
      <c r="P110" t="str" cm="1">
        <f t="array" ref="P110">_xlfn.IFS(Hospital_Patient[[#This Row],[Age]]&lt;=18,"Young",Hospital_Patient[[#This Row],[Age]]&lt;=36,"Adult",Hospital_Patient[[#This Row],[Age]]&lt;=60,"Middle Age",Hospital_Patient[[#This Row],[Age]]&gt;60,"Senior")</f>
        <v>Senior</v>
      </c>
      <c r="Q110" t="str" cm="1">
        <f t="array" ref="Q1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10">
        <f>YEAR(Hospital_Patient[[#This Row],[Discharge_Date]])</f>
        <v>2025</v>
      </c>
    </row>
    <row r="111" spans="1:18" hidden="1" x14ac:dyDescent="0.25">
      <c r="A111">
        <v>114</v>
      </c>
      <c r="B111">
        <v>28</v>
      </c>
      <c r="C111" t="s">
        <v>22</v>
      </c>
      <c r="D111" t="s">
        <v>47</v>
      </c>
      <c r="E111" t="s">
        <v>48</v>
      </c>
      <c r="F111" s="5">
        <v>45869</v>
      </c>
      <c r="G111" s="5">
        <v>45877</v>
      </c>
      <c r="H111" t="s">
        <v>18</v>
      </c>
      <c r="I111">
        <v>2025</v>
      </c>
      <c r="J111">
        <v>8</v>
      </c>
      <c r="K111" t="s">
        <v>19</v>
      </c>
      <c r="L111" t="s">
        <v>20</v>
      </c>
      <c r="M111">
        <v>5</v>
      </c>
      <c r="N111" t="s">
        <v>19</v>
      </c>
      <c r="O111">
        <v>100</v>
      </c>
      <c r="P111" t="str" cm="1">
        <f t="array" ref="P111">_xlfn.IFS(Hospital_Patient[[#This Row],[Age]]&lt;=18,"Young",Hospital_Patient[[#This Row],[Age]]&lt;=36,"Adult",Hospital_Patient[[#This Row],[Age]]&lt;=60,"Middle Age",Hospital_Patient[[#This Row],[Age]]&gt;60,"Senior")</f>
        <v>Adult</v>
      </c>
      <c r="Q111" t="str" cm="1">
        <f t="array" ref="Q1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11">
        <f>YEAR(Hospital_Patient[[#This Row],[Discharge_Date]])</f>
        <v>2025</v>
      </c>
    </row>
    <row r="112" spans="1:18" x14ac:dyDescent="0.25">
      <c r="A112">
        <v>256</v>
      </c>
      <c r="B112">
        <v>53</v>
      </c>
      <c r="C112" t="s">
        <v>15</v>
      </c>
      <c r="D112" t="s">
        <v>33</v>
      </c>
      <c r="E112" t="s">
        <v>34</v>
      </c>
      <c r="F112" s="5">
        <v>45850</v>
      </c>
      <c r="G112" s="5">
        <v>45877</v>
      </c>
      <c r="H112" t="s">
        <v>64</v>
      </c>
      <c r="I112">
        <v>2025</v>
      </c>
      <c r="J112">
        <v>27</v>
      </c>
      <c r="K112" t="s">
        <v>21</v>
      </c>
      <c r="L112" t="s">
        <v>20</v>
      </c>
      <c r="M112">
        <v>4</v>
      </c>
      <c r="N112" t="s">
        <v>21</v>
      </c>
      <c r="O112">
        <v>25000</v>
      </c>
      <c r="P112" t="str" cm="1">
        <f t="array" ref="P112">_xlfn.IFS(Hospital_Patient[[#This Row],[Age]]&lt;=18,"Young",Hospital_Patient[[#This Row],[Age]]&lt;=36,"Adult",Hospital_Patient[[#This Row],[Age]]&lt;=60,"Middle Age",Hospital_Patient[[#This Row],[Age]]&gt;60,"Senior")</f>
        <v>Middle Age</v>
      </c>
      <c r="Q112" t="str" cm="1">
        <f t="array" ref="Q1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12">
        <f>YEAR(Hospital_Patient[[#This Row],[Discharge_Date]])</f>
        <v>2025</v>
      </c>
    </row>
    <row r="113" spans="1:18" x14ac:dyDescent="0.25">
      <c r="A113">
        <v>363</v>
      </c>
      <c r="B113">
        <v>78</v>
      </c>
      <c r="C113" t="s">
        <v>15</v>
      </c>
      <c r="D113" t="s">
        <v>45</v>
      </c>
      <c r="E113" t="s">
        <v>46</v>
      </c>
      <c r="F113" s="5">
        <v>45844</v>
      </c>
      <c r="G113" s="5">
        <v>45876</v>
      </c>
      <c r="H113" t="s">
        <v>69</v>
      </c>
      <c r="I113">
        <v>2025</v>
      </c>
      <c r="J113">
        <v>32</v>
      </c>
      <c r="K113" t="s">
        <v>21</v>
      </c>
      <c r="L113" t="s">
        <v>26</v>
      </c>
      <c r="M113">
        <v>2</v>
      </c>
      <c r="N113" t="s">
        <v>19</v>
      </c>
      <c r="O113">
        <v>18000</v>
      </c>
      <c r="P113" t="str" cm="1">
        <f t="array" ref="P113">_xlfn.IFS(Hospital_Patient[[#This Row],[Age]]&lt;=18,"Young",Hospital_Patient[[#This Row],[Age]]&lt;=36,"Adult",Hospital_Patient[[#This Row],[Age]]&lt;=60,"Middle Age",Hospital_Patient[[#This Row],[Age]]&gt;60,"Senior")</f>
        <v>Senior</v>
      </c>
      <c r="Q113" t="str" cm="1">
        <f t="array" ref="Q1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13">
        <f>YEAR(Hospital_Patient[[#This Row],[Discharge_Date]])</f>
        <v>2025</v>
      </c>
    </row>
    <row r="114" spans="1:18" x14ac:dyDescent="0.25">
      <c r="A114">
        <v>45</v>
      </c>
      <c r="B114">
        <v>65</v>
      </c>
      <c r="C114" t="s">
        <v>15</v>
      </c>
      <c r="D114" t="s">
        <v>59</v>
      </c>
      <c r="E114" t="s">
        <v>60</v>
      </c>
      <c r="F114" s="5">
        <v>45863</v>
      </c>
      <c r="G114" s="5">
        <v>45870</v>
      </c>
      <c r="H114" t="s">
        <v>75</v>
      </c>
      <c r="I114">
        <v>2025</v>
      </c>
      <c r="J114">
        <v>7</v>
      </c>
      <c r="K114" t="s">
        <v>19</v>
      </c>
      <c r="L114" t="s">
        <v>26</v>
      </c>
      <c r="M114">
        <v>4</v>
      </c>
      <c r="N114" t="s">
        <v>19</v>
      </c>
      <c r="O114">
        <v>4000</v>
      </c>
      <c r="P114" t="str" cm="1">
        <f t="array" ref="P114">_xlfn.IFS(Hospital_Patient[[#This Row],[Age]]&lt;=18,"Young",Hospital_Patient[[#This Row],[Age]]&lt;=36,"Adult",Hospital_Patient[[#This Row],[Age]]&lt;=60,"Middle Age",Hospital_Patient[[#This Row],[Age]]&gt;60,"Senior")</f>
        <v>Senior</v>
      </c>
      <c r="Q114" t="str" cm="1">
        <f t="array" ref="Q1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14">
        <f>YEAR(Hospital_Patient[[#This Row],[Discharge_Date]])</f>
        <v>2025</v>
      </c>
    </row>
    <row r="115" spans="1:18" x14ac:dyDescent="0.25">
      <c r="A115">
        <v>915</v>
      </c>
      <c r="B115">
        <v>60</v>
      </c>
      <c r="C115" t="s">
        <v>15</v>
      </c>
      <c r="D115" t="s">
        <v>59</v>
      </c>
      <c r="E115" t="s">
        <v>60</v>
      </c>
      <c r="F115" s="5">
        <v>45796</v>
      </c>
      <c r="G115" s="5">
        <v>45862</v>
      </c>
      <c r="H115" t="s">
        <v>61</v>
      </c>
      <c r="I115">
        <v>2025</v>
      </c>
      <c r="J115">
        <v>66</v>
      </c>
      <c r="K115" t="s">
        <v>19</v>
      </c>
      <c r="L115" t="s">
        <v>26</v>
      </c>
      <c r="M115">
        <v>4</v>
      </c>
      <c r="N115" t="s">
        <v>21</v>
      </c>
      <c r="O115">
        <v>4000</v>
      </c>
      <c r="P115" t="str" cm="1">
        <f t="array" ref="P115">_xlfn.IFS(Hospital_Patient[[#This Row],[Age]]&lt;=18,"Young",Hospital_Patient[[#This Row],[Age]]&lt;=36,"Adult",Hospital_Patient[[#This Row],[Age]]&lt;=60,"Middle Age",Hospital_Patient[[#This Row],[Age]]&gt;60,"Senior")</f>
        <v>Middle Age</v>
      </c>
      <c r="Q115" t="str" cm="1">
        <f t="array" ref="Q1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15">
        <f>YEAR(Hospital_Patient[[#This Row],[Discharge_Date]])</f>
        <v>2025</v>
      </c>
    </row>
    <row r="116" spans="1:18" x14ac:dyDescent="0.25">
      <c r="A116">
        <v>815</v>
      </c>
      <c r="B116">
        <v>35</v>
      </c>
      <c r="C116" t="s">
        <v>15</v>
      </c>
      <c r="D116" t="s">
        <v>27</v>
      </c>
      <c r="E116" t="s">
        <v>28</v>
      </c>
      <c r="F116" s="5">
        <v>45803</v>
      </c>
      <c r="G116" s="5">
        <v>45859</v>
      </c>
      <c r="H116" t="s">
        <v>70</v>
      </c>
      <c r="I116">
        <v>2025</v>
      </c>
      <c r="J116">
        <v>56</v>
      </c>
      <c r="K116" t="s">
        <v>21</v>
      </c>
      <c r="L116" t="s">
        <v>20</v>
      </c>
      <c r="M116">
        <v>5</v>
      </c>
      <c r="N116" t="s">
        <v>21</v>
      </c>
      <c r="O116">
        <v>500</v>
      </c>
      <c r="P116" t="str" cm="1">
        <f t="array" ref="P116">_xlfn.IFS(Hospital_Patient[[#This Row],[Age]]&lt;=18,"Young",Hospital_Patient[[#This Row],[Age]]&lt;=36,"Adult",Hospital_Patient[[#This Row],[Age]]&lt;=60,"Middle Age",Hospital_Patient[[#This Row],[Age]]&gt;60,"Senior")</f>
        <v>Adult</v>
      </c>
      <c r="Q116" t="str" cm="1">
        <f t="array" ref="Q1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16">
        <f>YEAR(Hospital_Patient[[#This Row],[Discharge_Date]])</f>
        <v>2025</v>
      </c>
    </row>
    <row r="117" spans="1:18" hidden="1" x14ac:dyDescent="0.25">
      <c r="A117">
        <v>196</v>
      </c>
      <c r="B117">
        <v>78</v>
      </c>
      <c r="C117" t="s">
        <v>22</v>
      </c>
      <c r="D117" t="s">
        <v>30</v>
      </c>
      <c r="E117" t="s">
        <v>31</v>
      </c>
      <c r="F117" s="5">
        <v>45837</v>
      </c>
      <c r="G117" s="5">
        <v>45857</v>
      </c>
      <c r="H117" t="s">
        <v>63</v>
      </c>
      <c r="I117">
        <v>2025</v>
      </c>
      <c r="J117">
        <v>20</v>
      </c>
      <c r="K117" t="s">
        <v>19</v>
      </c>
      <c r="L117" t="s">
        <v>26</v>
      </c>
      <c r="M117">
        <v>2</v>
      </c>
      <c r="N117" t="s">
        <v>21</v>
      </c>
      <c r="O117">
        <v>10000</v>
      </c>
      <c r="P117" t="str" cm="1">
        <f t="array" ref="P117">_xlfn.IFS(Hospital_Patient[[#This Row],[Age]]&lt;=18,"Young",Hospital_Patient[[#This Row],[Age]]&lt;=36,"Adult",Hospital_Patient[[#This Row],[Age]]&lt;=60,"Middle Age",Hospital_Patient[[#This Row],[Age]]&gt;60,"Senior")</f>
        <v>Senior</v>
      </c>
      <c r="Q117" t="str" cm="1">
        <f t="array" ref="Q1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17">
        <f>YEAR(Hospital_Patient[[#This Row],[Discharge_Date]])</f>
        <v>2025</v>
      </c>
    </row>
    <row r="118" spans="1:18" hidden="1" x14ac:dyDescent="0.25">
      <c r="A118">
        <v>807</v>
      </c>
      <c r="B118">
        <v>25</v>
      </c>
      <c r="C118" t="s">
        <v>22</v>
      </c>
      <c r="D118" t="s">
        <v>47</v>
      </c>
      <c r="E118" t="s">
        <v>48</v>
      </c>
      <c r="F118" s="5">
        <v>45799</v>
      </c>
      <c r="G118" s="5">
        <v>45854</v>
      </c>
      <c r="H118" t="s">
        <v>74</v>
      </c>
      <c r="I118">
        <v>2025</v>
      </c>
      <c r="J118">
        <v>55</v>
      </c>
      <c r="K118" t="s">
        <v>19</v>
      </c>
      <c r="L118" t="s">
        <v>20</v>
      </c>
      <c r="M118">
        <v>5</v>
      </c>
      <c r="N118" t="s">
        <v>19</v>
      </c>
      <c r="O118">
        <v>100</v>
      </c>
      <c r="P118" t="str" cm="1">
        <f t="array" ref="P118">_xlfn.IFS(Hospital_Patient[[#This Row],[Age]]&lt;=18,"Young",Hospital_Patient[[#This Row],[Age]]&lt;=36,"Adult",Hospital_Patient[[#This Row],[Age]]&lt;=60,"Middle Age",Hospital_Patient[[#This Row],[Age]]&gt;60,"Senior")</f>
        <v>Adult</v>
      </c>
      <c r="Q118" t="str" cm="1">
        <f t="array" ref="Q1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18">
        <f>YEAR(Hospital_Patient[[#This Row],[Discharge_Date]])</f>
        <v>2025</v>
      </c>
    </row>
    <row r="119" spans="1:18" hidden="1" x14ac:dyDescent="0.25">
      <c r="A119">
        <v>873</v>
      </c>
      <c r="B119">
        <v>62</v>
      </c>
      <c r="C119" t="s">
        <v>22</v>
      </c>
      <c r="D119" t="s">
        <v>23</v>
      </c>
      <c r="E119" t="s">
        <v>24</v>
      </c>
      <c r="F119" s="5">
        <v>45789</v>
      </c>
      <c r="G119" s="5">
        <v>45851</v>
      </c>
      <c r="H119" t="s">
        <v>71</v>
      </c>
      <c r="I119">
        <v>2025</v>
      </c>
      <c r="J119">
        <v>62</v>
      </c>
      <c r="K119" t="s">
        <v>19</v>
      </c>
      <c r="L119" t="s">
        <v>26</v>
      </c>
      <c r="M119">
        <v>4</v>
      </c>
      <c r="N119" t="s">
        <v>21</v>
      </c>
      <c r="O119">
        <v>2000</v>
      </c>
      <c r="P119" t="str" cm="1">
        <f t="array" ref="P119">_xlfn.IFS(Hospital_Patient[[#This Row],[Age]]&lt;=18,"Young",Hospital_Patient[[#This Row],[Age]]&lt;=36,"Adult",Hospital_Patient[[#This Row],[Age]]&lt;=60,"Middle Age",Hospital_Patient[[#This Row],[Age]]&gt;60,"Senior")</f>
        <v>Senior</v>
      </c>
      <c r="Q119" t="str" cm="1">
        <f t="array" ref="Q1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19">
        <f>YEAR(Hospital_Patient[[#This Row],[Discharge_Date]])</f>
        <v>2025</v>
      </c>
    </row>
    <row r="120" spans="1:18" x14ac:dyDescent="0.25">
      <c r="A120">
        <v>43</v>
      </c>
      <c r="B120">
        <v>32</v>
      </c>
      <c r="C120" t="s">
        <v>15</v>
      </c>
      <c r="D120" t="s">
        <v>54</v>
      </c>
      <c r="E120" t="s">
        <v>55</v>
      </c>
      <c r="F120" s="5">
        <v>45845</v>
      </c>
      <c r="G120" s="5">
        <v>45850</v>
      </c>
      <c r="H120" t="s">
        <v>74</v>
      </c>
      <c r="I120">
        <v>2025</v>
      </c>
      <c r="J120">
        <v>5</v>
      </c>
      <c r="K120" t="s">
        <v>19</v>
      </c>
      <c r="L120" t="s">
        <v>20</v>
      </c>
      <c r="M120">
        <v>4</v>
      </c>
      <c r="N120" t="s">
        <v>19</v>
      </c>
      <c r="O120">
        <v>12000</v>
      </c>
      <c r="P120" t="str" cm="1">
        <f t="array" ref="P120">_xlfn.IFS(Hospital_Patient[[#This Row],[Age]]&lt;=18,"Young",Hospital_Patient[[#This Row],[Age]]&lt;=36,"Adult",Hospital_Patient[[#This Row],[Age]]&lt;=60,"Middle Age",Hospital_Patient[[#This Row],[Age]]&gt;60,"Senior")</f>
        <v>Adult</v>
      </c>
      <c r="Q120" t="str" cm="1">
        <f t="array" ref="Q1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20">
        <f>YEAR(Hospital_Patient[[#This Row],[Discharge_Date]])</f>
        <v>2025</v>
      </c>
    </row>
    <row r="121" spans="1:18" x14ac:dyDescent="0.25">
      <c r="A121">
        <v>764</v>
      </c>
      <c r="B121">
        <v>52</v>
      </c>
      <c r="C121" t="s">
        <v>15</v>
      </c>
      <c r="D121" t="s">
        <v>49</v>
      </c>
      <c r="E121" t="s">
        <v>50</v>
      </c>
      <c r="F121" s="5">
        <v>45796</v>
      </c>
      <c r="G121" s="5">
        <v>45849</v>
      </c>
      <c r="H121" t="s">
        <v>51</v>
      </c>
      <c r="I121">
        <v>2025</v>
      </c>
      <c r="J121">
        <v>53</v>
      </c>
      <c r="K121" t="s">
        <v>19</v>
      </c>
      <c r="L121" t="s">
        <v>26</v>
      </c>
      <c r="M121">
        <v>4</v>
      </c>
      <c r="N121" t="s">
        <v>19</v>
      </c>
      <c r="O121">
        <v>800</v>
      </c>
      <c r="P121" t="str" cm="1">
        <f t="array" ref="P121">_xlfn.IFS(Hospital_Patient[[#This Row],[Age]]&lt;=18,"Young",Hospital_Patient[[#This Row],[Age]]&lt;=36,"Adult",Hospital_Patient[[#This Row],[Age]]&lt;=60,"Middle Age",Hospital_Patient[[#This Row],[Age]]&gt;60,"Senior")</f>
        <v>Middle Age</v>
      </c>
      <c r="Q121" t="str" cm="1">
        <f t="array" ref="Q1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1">
        <f>YEAR(Hospital_Patient[[#This Row],[Discharge_Date]])</f>
        <v>2025</v>
      </c>
    </row>
    <row r="122" spans="1:18" x14ac:dyDescent="0.25">
      <c r="A122">
        <v>760</v>
      </c>
      <c r="B122">
        <v>60</v>
      </c>
      <c r="C122" t="s">
        <v>15</v>
      </c>
      <c r="D122" t="s">
        <v>39</v>
      </c>
      <c r="E122" t="s">
        <v>40</v>
      </c>
      <c r="F122" s="5">
        <v>45790</v>
      </c>
      <c r="G122" s="5">
        <v>45847</v>
      </c>
      <c r="H122" t="s">
        <v>41</v>
      </c>
      <c r="I122">
        <v>2025</v>
      </c>
      <c r="J122">
        <v>57</v>
      </c>
      <c r="K122" t="s">
        <v>21</v>
      </c>
      <c r="L122" t="s">
        <v>20</v>
      </c>
      <c r="M122">
        <v>3</v>
      </c>
      <c r="N122" t="s">
        <v>21</v>
      </c>
      <c r="O122">
        <v>8000</v>
      </c>
      <c r="P122" t="str" cm="1">
        <f t="array" ref="P122">_xlfn.IFS(Hospital_Patient[[#This Row],[Age]]&lt;=18,"Young",Hospital_Patient[[#This Row],[Age]]&lt;=36,"Adult",Hospital_Patient[[#This Row],[Age]]&lt;=60,"Middle Age",Hospital_Patient[[#This Row],[Age]]&gt;60,"Senior")</f>
        <v>Middle Age</v>
      </c>
      <c r="Q122" t="str" cm="1">
        <f t="array" ref="Q1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2">
        <f>YEAR(Hospital_Patient[[#This Row],[Discharge_Date]])</f>
        <v>2025</v>
      </c>
    </row>
    <row r="123" spans="1:18" x14ac:dyDescent="0.25">
      <c r="A123">
        <v>900</v>
      </c>
      <c r="B123">
        <v>65</v>
      </c>
      <c r="C123" t="s">
        <v>15</v>
      </c>
      <c r="D123" t="s">
        <v>59</v>
      </c>
      <c r="E123" t="s">
        <v>60</v>
      </c>
      <c r="F123" s="5">
        <v>45781</v>
      </c>
      <c r="G123" s="5">
        <v>45846</v>
      </c>
      <c r="H123" t="s">
        <v>61</v>
      </c>
      <c r="I123">
        <v>2025</v>
      </c>
      <c r="J123">
        <v>65</v>
      </c>
      <c r="K123" t="s">
        <v>19</v>
      </c>
      <c r="L123" t="s">
        <v>26</v>
      </c>
      <c r="M123">
        <v>4</v>
      </c>
      <c r="N123" t="s">
        <v>19</v>
      </c>
      <c r="O123">
        <v>4000</v>
      </c>
      <c r="P123" t="str" cm="1">
        <f t="array" ref="P123">_xlfn.IFS(Hospital_Patient[[#This Row],[Age]]&lt;=18,"Young",Hospital_Patient[[#This Row],[Age]]&lt;=36,"Adult",Hospital_Patient[[#This Row],[Age]]&lt;=60,"Middle Age",Hospital_Patient[[#This Row],[Age]]&gt;60,"Senior")</f>
        <v>Senior</v>
      </c>
      <c r="Q123" t="str" cm="1">
        <f t="array" ref="Q1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23">
        <f>YEAR(Hospital_Patient[[#This Row],[Discharge_Date]])</f>
        <v>2025</v>
      </c>
    </row>
    <row r="124" spans="1:18" hidden="1" x14ac:dyDescent="0.25">
      <c r="A124">
        <v>914</v>
      </c>
      <c r="B124">
        <v>50</v>
      </c>
      <c r="C124" t="s">
        <v>22</v>
      </c>
      <c r="D124" t="s">
        <v>57</v>
      </c>
      <c r="E124" t="s">
        <v>58</v>
      </c>
      <c r="F124" s="5">
        <v>45780</v>
      </c>
      <c r="G124" s="5">
        <v>45845</v>
      </c>
      <c r="H124" t="s">
        <v>77</v>
      </c>
      <c r="I124">
        <v>2025</v>
      </c>
      <c r="J124">
        <v>65</v>
      </c>
      <c r="K124" t="s">
        <v>19</v>
      </c>
      <c r="L124" t="s">
        <v>20</v>
      </c>
      <c r="M124">
        <v>3</v>
      </c>
      <c r="N124" t="s">
        <v>21</v>
      </c>
      <c r="O124">
        <v>6000</v>
      </c>
      <c r="P124" t="str" cm="1">
        <f t="array" ref="P124">_xlfn.IFS(Hospital_Patient[[#This Row],[Age]]&lt;=18,"Young",Hospital_Patient[[#This Row],[Age]]&lt;=36,"Adult",Hospital_Patient[[#This Row],[Age]]&lt;=60,"Middle Age",Hospital_Patient[[#This Row],[Age]]&gt;60,"Senior")</f>
        <v>Middle Age</v>
      </c>
      <c r="Q124" t="str" cm="1">
        <f t="array" ref="Q1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24">
        <f>YEAR(Hospital_Patient[[#This Row],[Discharge_Date]])</f>
        <v>2025</v>
      </c>
    </row>
    <row r="125" spans="1:18" x14ac:dyDescent="0.25">
      <c r="A125">
        <v>576</v>
      </c>
      <c r="B125">
        <v>65</v>
      </c>
      <c r="C125" t="s">
        <v>15</v>
      </c>
      <c r="D125" t="s">
        <v>59</v>
      </c>
      <c r="E125" t="s">
        <v>60</v>
      </c>
      <c r="F125" s="5">
        <v>45801</v>
      </c>
      <c r="G125" s="5">
        <v>45844</v>
      </c>
      <c r="H125" t="s">
        <v>61</v>
      </c>
      <c r="I125">
        <v>2025</v>
      </c>
      <c r="J125">
        <v>43</v>
      </c>
      <c r="K125" t="s">
        <v>19</v>
      </c>
      <c r="L125" t="s">
        <v>26</v>
      </c>
      <c r="M125">
        <v>4</v>
      </c>
      <c r="N125" t="s">
        <v>19</v>
      </c>
      <c r="O125">
        <v>4000</v>
      </c>
      <c r="P125" t="str" cm="1">
        <f t="array" ref="P125">_xlfn.IFS(Hospital_Patient[[#This Row],[Age]]&lt;=18,"Young",Hospital_Patient[[#This Row],[Age]]&lt;=36,"Adult",Hospital_Patient[[#This Row],[Age]]&lt;=60,"Middle Age",Hospital_Patient[[#This Row],[Age]]&gt;60,"Senior")</f>
        <v>Senior</v>
      </c>
      <c r="Q125" t="str" cm="1">
        <f t="array" ref="Q1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5">
        <f>YEAR(Hospital_Patient[[#This Row],[Discharge_Date]])</f>
        <v>2025</v>
      </c>
    </row>
    <row r="126" spans="1:18" hidden="1" x14ac:dyDescent="0.25">
      <c r="A126">
        <v>956</v>
      </c>
      <c r="B126">
        <v>58</v>
      </c>
      <c r="C126" t="s">
        <v>22</v>
      </c>
      <c r="D126" t="s">
        <v>52</v>
      </c>
      <c r="E126" t="s">
        <v>53</v>
      </c>
      <c r="F126" s="5">
        <v>45771</v>
      </c>
      <c r="G126" s="5">
        <v>45844</v>
      </c>
      <c r="H126" t="s">
        <v>18</v>
      </c>
      <c r="I126">
        <v>2025</v>
      </c>
      <c r="J126">
        <v>73</v>
      </c>
      <c r="K126" t="s">
        <v>19</v>
      </c>
      <c r="L126" t="s">
        <v>20</v>
      </c>
      <c r="M126">
        <v>3</v>
      </c>
      <c r="N126" t="s">
        <v>21</v>
      </c>
      <c r="O126">
        <v>20000</v>
      </c>
      <c r="P126" t="str" cm="1">
        <f t="array" ref="P126">_xlfn.IFS(Hospital_Patient[[#This Row],[Age]]&lt;=18,"Young",Hospital_Patient[[#This Row],[Age]]&lt;=36,"Adult",Hospital_Patient[[#This Row],[Age]]&lt;=60,"Middle Age",Hospital_Patient[[#This Row],[Age]]&gt;60,"Senior")</f>
        <v>Middle Age</v>
      </c>
      <c r="Q126" t="str" cm="1">
        <f t="array" ref="Q1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26">
        <f>YEAR(Hospital_Patient[[#This Row],[Discharge_Date]])</f>
        <v>2025</v>
      </c>
    </row>
    <row r="127" spans="1:18" hidden="1" x14ac:dyDescent="0.25">
      <c r="A127">
        <v>351</v>
      </c>
      <c r="B127">
        <v>67</v>
      </c>
      <c r="C127" t="s">
        <v>22</v>
      </c>
      <c r="D127" t="s">
        <v>52</v>
      </c>
      <c r="E127" t="s">
        <v>53</v>
      </c>
      <c r="F127" s="5">
        <v>45811</v>
      </c>
      <c r="G127" s="5">
        <v>45843</v>
      </c>
      <c r="H127" t="s">
        <v>67</v>
      </c>
      <c r="I127">
        <v>2025</v>
      </c>
      <c r="J127">
        <v>32</v>
      </c>
      <c r="K127" t="s">
        <v>19</v>
      </c>
      <c r="L127" t="s">
        <v>20</v>
      </c>
      <c r="M127">
        <v>3</v>
      </c>
      <c r="N127" t="s">
        <v>19</v>
      </c>
      <c r="O127">
        <v>20000</v>
      </c>
      <c r="P127" t="str" cm="1">
        <f t="array" ref="P127">_xlfn.IFS(Hospital_Patient[[#This Row],[Age]]&lt;=18,"Young",Hospital_Patient[[#This Row],[Age]]&lt;=36,"Adult",Hospital_Patient[[#This Row],[Age]]&lt;=60,"Middle Age",Hospital_Patient[[#This Row],[Age]]&gt;60,"Senior")</f>
        <v>Senior</v>
      </c>
      <c r="Q127" t="str" cm="1">
        <f t="array" ref="Q1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7">
        <f>YEAR(Hospital_Patient[[#This Row],[Discharge_Date]])</f>
        <v>2025</v>
      </c>
    </row>
    <row r="128" spans="1:18" hidden="1" x14ac:dyDescent="0.25">
      <c r="A128">
        <v>430</v>
      </c>
      <c r="B128">
        <v>62</v>
      </c>
      <c r="C128" t="s">
        <v>22</v>
      </c>
      <c r="D128" t="s">
        <v>23</v>
      </c>
      <c r="E128" t="s">
        <v>24</v>
      </c>
      <c r="F128" s="5">
        <v>45811</v>
      </c>
      <c r="G128" s="5">
        <v>45843</v>
      </c>
      <c r="H128" t="s">
        <v>25</v>
      </c>
      <c r="I128">
        <v>2025</v>
      </c>
      <c r="J128">
        <v>32</v>
      </c>
      <c r="K128" t="s">
        <v>19</v>
      </c>
      <c r="L128" t="s">
        <v>26</v>
      </c>
      <c r="M128">
        <v>4</v>
      </c>
      <c r="N128" t="s">
        <v>19</v>
      </c>
      <c r="O128">
        <v>2000</v>
      </c>
      <c r="P128" t="str" cm="1">
        <f t="array" ref="P128">_xlfn.IFS(Hospital_Patient[[#This Row],[Age]]&lt;=18,"Young",Hospital_Patient[[#This Row],[Age]]&lt;=36,"Adult",Hospital_Patient[[#This Row],[Age]]&lt;=60,"Middle Age",Hospital_Patient[[#This Row],[Age]]&gt;60,"Senior")</f>
        <v>Senior</v>
      </c>
      <c r="Q128" t="str" cm="1">
        <f t="array" ref="Q1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8">
        <f>YEAR(Hospital_Patient[[#This Row],[Discharge_Date]])</f>
        <v>2025</v>
      </c>
    </row>
    <row r="129" spans="1:18" hidden="1" x14ac:dyDescent="0.25">
      <c r="A129">
        <v>468</v>
      </c>
      <c r="B129">
        <v>28</v>
      </c>
      <c r="C129" t="s">
        <v>22</v>
      </c>
      <c r="D129" t="s">
        <v>47</v>
      </c>
      <c r="E129" t="s">
        <v>48</v>
      </c>
      <c r="F129" s="5">
        <v>45811</v>
      </c>
      <c r="G129" s="5">
        <v>45843</v>
      </c>
      <c r="H129" t="s">
        <v>18</v>
      </c>
      <c r="I129">
        <v>2025</v>
      </c>
      <c r="J129">
        <v>32</v>
      </c>
      <c r="K129" t="s">
        <v>19</v>
      </c>
      <c r="L129" t="s">
        <v>20</v>
      </c>
      <c r="M129">
        <v>5</v>
      </c>
      <c r="N129" t="s">
        <v>19</v>
      </c>
      <c r="O129">
        <v>100</v>
      </c>
      <c r="P129" t="str" cm="1">
        <f t="array" ref="P129">_xlfn.IFS(Hospital_Patient[[#This Row],[Age]]&lt;=18,"Young",Hospital_Patient[[#This Row],[Age]]&lt;=36,"Adult",Hospital_Patient[[#This Row],[Age]]&lt;=60,"Middle Age",Hospital_Patient[[#This Row],[Age]]&gt;60,"Senior")</f>
        <v>Adult</v>
      </c>
      <c r="Q129" t="str" cm="1">
        <f t="array" ref="Q1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29">
        <f>YEAR(Hospital_Patient[[#This Row],[Discharge_Date]])</f>
        <v>2025</v>
      </c>
    </row>
    <row r="130" spans="1:18" x14ac:dyDescent="0.25">
      <c r="A130">
        <v>304</v>
      </c>
      <c r="B130">
        <v>78</v>
      </c>
      <c r="C130" t="s">
        <v>15</v>
      </c>
      <c r="D130" t="s">
        <v>45</v>
      </c>
      <c r="E130" t="s">
        <v>46</v>
      </c>
      <c r="F130" s="5">
        <v>45814</v>
      </c>
      <c r="G130" s="5">
        <v>45842</v>
      </c>
      <c r="H130" t="s">
        <v>65</v>
      </c>
      <c r="I130">
        <v>2025</v>
      </c>
      <c r="J130">
        <v>28</v>
      </c>
      <c r="K130" t="s">
        <v>21</v>
      </c>
      <c r="L130" t="s">
        <v>26</v>
      </c>
      <c r="M130">
        <v>2</v>
      </c>
      <c r="N130" t="s">
        <v>19</v>
      </c>
      <c r="O130">
        <v>18000</v>
      </c>
      <c r="P130" t="str" cm="1">
        <f t="array" ref="P130">_xlfn.IFS(Hospital_Patient[[#This Row],[Age]]&lt;=18,"Young",Hospital_Patient[[#This Row],[Age]]&lt;=36,"Adult",Hospital_Patient[[#This Row],[Age]]&lt;=60,"Middle Age",Hospital_Patient[[#This Row],[Age]]&gt;60,"Senior")</f>
        <v>Senior</v>
      </c>
      <c r="Q130" t="str" cm="1">
        <f t="array" ref="Q1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30">
        <f>YEAR(Hospital_Patient[[#This Row],[Discharge_Date]])</f>
        <v>2025</v>
      </c>
    </row>
    <row r="131" spans="1:18" hidden="1" x14ac:dyDescent="0.25">
      <c r="A131">
        <v>314</v>
      </c>
      <c r="B131">
        <v>78</v>
      </c>
      <c r="C131" t="s">
        <v>22</v>
      </c>
      <c r="D131" t="s">
        <v>30</v>
      </c>
      <c r="E131" t="s">
        <v>31</v>
      </c>
      <c r="F131" s="5">
        <v>45813</v>
      </c>
      <c r="G131" s="5">
        <v>45841</v>
      </c>
      <c r="H131" t="s">
        <v>32</v>
      </c>
      <c r="I131">
        <v>2025</v>
      </c>
      <c r="J131">
        <v>28</v>
      </c>
      <c r="K131" t="s">
        <v>19</v>
      </c>
      <c r="L131" t="s">
        <v>26</v>
      </c>
      <c r="M131">
        <v>2</v>
      </c>
      <c r="N131" t="s">
        <v>19</v>
      </c>
      <c r="O131">
        <v>10000</v>
      </c>
      <c r="P131" t="str" cm="1">
        <f t="array" ref="P131">_xlfn.IFS(Hospital_Patient[[#This Row],[Age]]&lt;=18,"Young",Hospital_Patient[[#This Row],[Age]]&lt;=36,"Adult",Hospital_Patient[[#This Row],[Age]]&lt;=60,"Middle Age",Hospital_Patient[[#This Row],[Age]]&gt;60,"Senior")</f>
        <v>Senior</v>
      </c>
      <c r="Q131" t="str" cm="1">
        <f t="array" ref="Q1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31">
        <f>YEAR(Hospital_Patient[[#This Row],[Discharge_Date]])</f>
        <v>2025</v>
      </c>
    </row>
    <row r="132" spans="1:18" x14ac:dyDescent="0.25">
      <c r="A132">
        <v>835</v>
      </c>
      <c r="B132">
        <v>78</v>
      </c>
      <c r="C132" t="s">
        <v>15</v>
      </c>
      <c r="D132" t="s">
        <v>45</v>
      </c>
      <c r="E132" t="s">
        <v>46</v>
      </c>
      <c r="F132" s="5">
        <v>45776</v>
      </c>
      <c r="G132" s="5">
        <v>45840</v>
      </c>
      <c r="H132" t="s">
        <v>65</v>
      </c>
      <c r="I132">
        <v>2025</v>
      </c>
      <c r="J132">
        <v>64</v>
      </c>
      <c r="K132" t="s">
        <v>21</v>
      </c>
      <c r="L132" t="s">
        <v>26</v>
      </c>
      <c r="M132">
        <v>2</v>
      </c>
      <c r="N132" t="s">
        <v>21</v>
      </c>
      <c r="O132">
        <v>18000</v>
      </c>
      <c r="P132" t="str" cm="1">
        <f t="array" ref="P132">_xlfn.IFS(Hospital_Patient[[#This Row],[Age]]&lt;=18,"Young",Hospital_Patient[[#This Row],[Age]]&lt;=36,"Adult",Hospital_Patient[[#This Row],[Age]]&lt;=60,"Middle Age",Hospital_Patient[[#This Row],[Age]]&gt;60,"Senior")</f>
        <v>Senior</v>
      </c>
      <c r="Q132" t="str" cm="1">
        <f t="array" ref="Q1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32">
        <f>YEAR(Hospital_Patient[[#This Row],[Discharge_Date]])</f>
        <v>2025</v>
      </c>
    </row>
    <row r="133" spans="1:18" hidden="1" x14ac:dyDescent="0.25">
      <c r="A133">
        <v>6</v>
      </c>
      <c r="B133">
        <v>68</v>
      </c>
      <c r="C133" t="s">
        <v>22</v>
      </c>
      <c r="D133" t="s">
        <v>36</v>
      </c>
      <c r="E133" t="s">
        <v>37</v>
      </c>
      <c r="F133" s="5">
        <v>45835</v>
      </c>
      <c r="G133" s="5">
        <v>45837</v>
      </c>
      <c r="H133" t="s">
        <v>38</v>
      </c>
      <c r="I133">
        <v>2025</v>
      </c>
      <c r="J133">
        <v>2</v>
      </c>
      <c r="K133" t="s">
        <v>19</v>
      </c>
      <c r="L133" t="s">
        <v>26</v>
      </c>
      <c r="M133">
        <v>4</v>
      </c>
      <c r="N133" t="s">
        <v>21</v>
      </c>
      <c r="O133">
        <v>1000</v>
      </c>
      <c r="P133" t="str" cm="1">
        <f t="array" ref="P133">_xlfn.IFS(Hospital_Patient[[#This Row],[Age]]&lt;=18,"Young",Hospital_Patient[[#This Row],[Age]]&lt;=36,"Adult",Hospital_Patient[[#This Row],[Age]]&lt;=60,"Middle Age",Hospital_Patient[[#This Row],[Age]]&gt;60,"Senior")</f>
        <v>Senior</v>
      </c>
      <c r="Q133" t="str" cm="1">
        <f t="array" ref="Q1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33">
        <f>YEAR(Hospital_Patient[[#This Row],[Discharge_Date]])</f>
        <v>2025</v>
      </c>
    </row>
    <row r="134" spans="1:18" hidden="1" x14ac:dyDescent="0.25">
      <c r="A134">
        <v>836</v>
      </c>
      <c r="B134">
        <v>25</v>
      </c>
      <c r="C134" t="s">
        <v>22</v>
      </c>
      <c r="D134" t="s">
        <v>47</v>
      </c>
      <c r="E134" t="s">
        <v>48</v>
      </c>
      <c r="F134" s="5">
        <v>45780</v>
      </c>
      <c r="G134" s="5">
        <v>45837</v>
      </c>
      <c r="H134" t="s">
        <v>41</v>
      </c>
      <c r="I134">
        <v>2025</v>
      </c>
      <c r="J134">
        <v>57</v>
      </c>
      <c r="K134" t="s">
        <v>19</v>
      </c>
      <c r="L134" t="s">
        <v>20</v>
      </c>
      <c r="M134">
        <v>5</v>
      </c>
      <c r="N134" t="s">
        <v>19</v>
      </c>
      <c r="O134">
        <v>100</v>
      </c>
      <c r="P134" t="str" cm="1">
        <f t="array" ref="P134">_xlfn.IFS(Hospital_Patient[[#This Row],[Age]]&lt;=18,"Young",Hospital_Patient[[#This Row],[Age]]&lt;=36,"Adult",Hospital_Patient[[#This Row],[Age]]&lt;=60,"Middle Age",Hospital_Patient[[#This Row],[Age]]&gt;60,"Senior")</f>
        <v>Adult</v>
      </c>
      <c r="Q134" t="str" cm="1">
        <f t="array" ref="Q1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34">
        <f>YEAR(Hospital_Patient[[#This Row],[Discharge_Date]])</f>
        <v>2025</v>
      </c>
    </row>
    <row r="135" spans="1:18" hidden="1" x14ac:dyDescent="0.25">
      <c r="A135">
        <v>698</v>
      </c>
      <c r="B135">
        <v>78</v>
      </c>
      <c r="C135" t="s">
        <v>22</v>
      </c>
      <c r="D135" t="s">
        <v>30</v>
      </c>
      <c r="E135" t="s">
        <v>31</v>
      </c>
      <c r="F135" s="5">
        <v>45781</v>
      </c>
      <c r="G135" s="5">
        <v>45836</v>
      </c>
      <c r="H135" t="s">
        <v>35</v>
      </c>
      <c r="I135">
        <v>2025</v>
      </c>
      <c r="J135">
        <v>55</v>
      </c>
      <c r="K135" t="s">
        <v>19</v>
      </c>
      <c r="L135" t="s">
        <v>26</v>
      </c>
      <c r="M135">
        <v>2</v>
      </c>
      <c r="N135" t="s">
        <v>21</v>
      </c>
      <c r="O135">
        <v>10000</v>
      </c>
      <c r="P135" t="str" cm="1">
        <f t="array" ref="P135">_xlfn.IFS(Hospital_Patient[[#This Row],[Age]]&lt;=18,"Young",Hospital_Patient[[#This Row],[Age]]&lt;=36,"Adult",Hospital_Patient[[#This Row],[Age]]&lt;=60,"Middle Age",Hospital_Patient[[#This Row],[Age]]&gt;60,"Senior")</f>
        <v>Senior</v>
      </c>
      <c r="Q135" t="str" cm="1">
        <f t="array" ref="Q1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35">
        <f>YEAR(Hospital_Patient[[#This Row],[Discharge_Date]])</f>
        <v>2025</v>
      </c>
    </row>
    <row r="136" spans="1:18" x14ac:dyDescent="0.25">
      <c r="A136">
        <v>823</v>
      </c>
      <c r="B136">
        <v>52</v>
      </c>
      <c r="C136" t="s">
        <v>15</v>
      </c>
      <c r="D136" t="s">
        <v>49</v>
      </c>
      <c r="E136" t="s">
        <v>50</v>
      </c>
      <c r="F136" s="5">
        <v>45779</v>
      </c>
      <c r="G136" s="5">
        <v>45836</v>
      </c>
      <c r="H136" t="s">
        <v>51</v>
      </c>
      <c r="I136">
        <v>2025</v>
      </c>
      <c r="J136">
        <v>57</v>
      </c>
      <c r="K136" t="s">
        <v>19</v>
      </c>
      <c r="L136" t="s">
        <v>26</v>
      </c>
      <c r="M136">
        <v>4</v>
      </c>
      <c r="N136" t="s">
        <v>19</v>
      </c>
      <c r="O136">
        <v>800</v>
      </c>
      <c r="P136" t="str" cm="1">
        <f t="array" ref="P136">_xlfn.IFS(Hospital_Patient[[#This Row],[Age]]&lt;=18,"Young",Hospital_Patient[[#This Row],[Age]]&lt;=36,"Adult",Hospital_Patient[[#This Row],[Age]]&lt;=60,"Middle Age",Hospital_Patient[[#This Row],[Age]]&gt;60,"Senior")</f>
        <v>Middle Age</v>
      </c>
      <c r="Q136" t="str" cm="1">
        <f t="array" ref="Q1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36">
        <f>YEAR(Hospital_Patient[[#This Row],[Discharge_Date]])</f>
        <v>2025</v>
      </c>
    </row>
    <row r="137" spans="1:18" x14ac:dyDescent="0.25">
      <c r="A137">
        <v>795</v>
      </c>
      <c r="B137">
        <v>35</v>
      </c>
      <c r="C137" t="s">
        <v>15</v>
      </c>
      <c r="D137" t="s">
        <v>54</v>
      </c>
      <c r="E137" t="s">
        <v>55</v>
      </c>
      <c r="F137" s="5">
        <v>45779</v>
      </c>
      <c r="G137" s="5">
        <v>45835</v>
      </c>
      <c r="H137" t="s">
        <v>74</v>
      </c>
      <c r="I137">
        <v>2025</v>
      </c>
      <c r="J137">
        <v>56</v>
      </c>
      <c r="K137" t="s">
        <v>19</v>
      </c>
      <c r="L137" t="s">
        <v>20</v>
      </c>
      <c r="M137">
        <v>4</v>
      </c>
      <c r="N137" t="s">
        <v>19</v>
      </c>
      <c r="O137">
        <v>12000</v>
      </c>
      <c r="P137" t="str" cm="1">
        <f t="array" ref="P137">_xlfn.IFS(Hospital_Patient[[#This Row],[Age]]&lt;=18,"Young",Hospital_Patient[[#This Row],[Age]]&lt;=36,"Adult",Hospital_Patient[[#This Row],[Age]]&lt;=60,"Middle Age",Hospital_Patient[[#This Row],[Age]]&gt;60,"Senior")</f>
        <v>Adult</v>
      </c>
      <c r="Q137" t="str" cm="1">
        <f t="array" ref="Q1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37">
        <f>YEAR(Hospital_Patient[[#This Row],[Discharge_Date]])</f>
        <v>2025</v>
      </c>
    </row>
    <row r="138" spans="1:18" hidden="1" x14ac:dyDescent="0.25">
      <c r="A138">
        <v>364</v>
      </c>
      <c r="B138">
        <v>25</v>
      </c>
      <c r="C138" t="s">
        <v>22</v>
      </c>
      <c r="D138" t="s">
        <v>47</v>
      </c>
      <c r="E138" t="s">
        <v>48</v>
      </c>
      <c r="F138" s="5">
        <v>45809</v>
      </c>
      <c r="G138" s="5">
        <v>45834</v>
      </c>
      <c r="H138" t="s">
        <v>18</v>
      </c>
      <c r="I138">
        <v>2025</v>
      </c>
      <c r="J138">
        <v>25</v>
      </c>
      <c r="K138" t="s">
        <v>19</v>
      </c>
      <c r="L138" t="s">
        <v>20</v>
      </c>
      <c r="M138">
        <v>5</v>
      </c>
      <c r="N138" t="s">
        <v>21</v>
      </c>
      <c r="O138">
        <v>100</v>
      </c>
      <c r="P138" t="str" cm="1">
        <f t="array" ref="P138">_xlfn.IFS(Hospital_Patient[[#This Row],[Age]]&lt;=18,"Young",Hospital_Patient[[#This Row],[Age]]&lt;=36,"Adult",Hospital_Patient[[#This Row],[Age]]&lt;=60,"Middle Age",Hospital_Patient[[#This Row],[Age]]&gt;60,"Senior")</f>
        <v>Adult</v>
      </c>
      <c r="Q138" t="str" cm="1">
        <f t="array" ref="Q1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38">
        <f>YEAR(Hospital_Patient[[#This Row],[Discharge_Date]])</f>
        <v>2025</v>
      </c>
    </row>
    <row r="139" spans="1:18" hidden="1" x14ac:dyDescent="0.25">
      <c r="A139">
        <v>967</v>
      </c>
      <c r="B139">
        <v>45</v>
      </c>
      <c r="C139" t="s">
        <v>22</v>
      </c>
      <c r="D139" t="s">
        <v>42</v>
      </c>
      <c r="E139" t="s">
        <v>43</v>
      </c>
      <c r="F139" s="5">
        <v>45763</v>
      </c>
      <c r="G139" s="5">
        <v>45834</v>
      </c>
      <c r="H139" t="s">
        <v>71</v>
      </c>
      <c r="I139">
        <v>2025</v>
      </c>
      <c r="J139">
        <v>71</v>
      </c>
      <c r="K139" t="s">
        <v>19</v>
      </c>
      <c r="L139" t="s">
        <v>20</v>
      </c>
      <c r="M139">
        <v>4</v>
      </c>
      <c r="N139" t="s">
        <v>21</v>
      </c>
      <c r="O139">
        <v>3000</v>
      </c>
      <c r="P139" t="str" cm="1">
        <f t="array" ref="P139">_xlfn.IFS(Hospital_Patient[[#This Row],[Age]]&lt;=18,"Young",Hospital_Patient[[#This Row],[Age]]&lt;=36,"Adult",Hospital_Patient[[#This Row],[Age]]&lt;=60,"Middle Age",Hospital_Patient[[#This Row],[Age]]&gt;60,"Senior")</f>
        <v>Middle Age</v>
      </c>
      <c r="Q139" t="str" cm="1">
        <f t="array" ref="Q1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39">
        <f>YEAR(Hospital_Patient[[#This Row],[Discharge_Date]])</f>
        <v>2025</v>
      </c>
    </row>
    <row r="140" spans="1:18" hidden="1" x14ac:dyDescent="0.25">
      <c r="A140">
        <v>777</v>
      </c>
      <c r="B140">
        <v>25</v>
      </c>
      <c r="C140" t="s">
        <v>22</v>
      </c>
      <c r="D140" t="s">
        <v>47</v>
      </c>
      <c r="E140" t="s">
        <v>48</v>
      </c>
      <c r="F140" s="5">
        <v>45780</v>
      </c>
      <c r="G140" s="5">
        <v>45833</v>
      </c>
      <c r="H140" t="s">
        <v>74</v>
      </c>
      <c r="I140">
        <v>2025</v>
      </c>
      <c r="J140">
        <v>53</v>
      </c>
      <c r="K140" t="s">
        <v>19</v>
      </c>
      <c r="L140" t="s">
        <v>20</v>
      </c>
      <c r="M140">
        <v>5</v>
      </c>
      <c r="N140" t="s">
        <v>19</v>
      </c>
      <c r="O140">
        <v>100</v>
      </c>
      <c r="P140" t="str" cm="1">
        <f t="array" ref="P140">_xlfn.IFS(Hospital_Patient[[#This Row],[Age]]&lt;=18,"Young",Hospital_Patient[[#This Row],[Age]]&lt;=36,"Adult",Hospital_Patient[[#This Row],[Age]]&lt;=60,"Middle Age",Hospital_Patient[[#This Row],[Age]]&gt;60,"Senior")</f>
        <v>Adult</v>
      </c>
      <c r="Q140" t="str" cm="1">
        <f t="array" ref="Q1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0">
        <f>YEAR(Hospital_Patient[[#This Row],[Discharge_Date]])</f>
        <v>2025</v>
      </c>
    </row>
    <row r="141" spans="1:18" x14ac:dyDescent="0.25">
      <c r="A141">
        <v>846</v>
      </c>
      <c r="B141">
        <v>53</v>
      </c>
      <c r="C141" t="s">
        <v>15</v>
      </c>
      <c r="D141" t="s">
        <v>33</v>
      </c>
      <c r="E141" t="s">
        <v>34</v>
      </c>
      <c r="F141" s="5">
        <v>45762</v>
      </c>
      <c r="G141" s="5">
        <v>45829</v>
      </c>
      <c r="H141" t="s">
        <v>67</v>
      </c>
      <c r="I141">
        <v>2025</v>
      </c>
      <c r="J141">
        <v>67</v>
      </c>
      <c r="K141" t="s">
        <v>21</v>
      </c>
      <c r="L141" t="s">
        <v>20</v>
      </c>
      <c r="M141">
        <v>4</v>
      </c>
      <c r="N141" t="s">
        <v>21</v>
      </c>
      <c r="O141">
        <v>25000</v>
      </c>
      <c r="P141" t="str" cm="1">
        <f t="array" ref="P141">_xlfn.IFS(Hospital_Patient[[#This Row],[Age]]&lt;=18,"Young",Hospital_Patient[[#This Row],[Age]]&lt;=36,"Adult",Hospital_Patient[[#This Row],[Age]]&lt;=60,"Middle Age",Hospital_Patient[[#This Row],[Age]]&gt;60,"Senior")</f>
        <v>Middle Age</v>
      </c>
      <c r="Q141" t="str" cm="1">
        <f t="array" ref="Q1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41">
        <f>YEAR(Hospital_Patient[[#This Row],[Discharge_Date]])</f>
        <v>2025</v>
      </c>
    </row>
    <row r="142" spans="1:18" hidden="1" x14ac:dyDescent="0.25">
      <c r="A142">
        <v>683</v>
      </c>
      <c r="B142">
        <v>70</v>
      </c>
      <c r="C142" t="s">
        <v>22</v>
      </c>
      <c r="D142" t="s">
        <v>30</v>
      </c>
      <c r="E142" t="s">
        <v>31</v>
      </c>
      <c r="F142" s="5">
        <v>45774</v>
      </c>
      <c r="G142" s="5">
        <v>45828</v>
      </c>
      <c r="H142" t="s">
        <v>35</v>
      </c>
      <c r="I142">
        <v>2025</v>
      </c>
      <c r="J142">
        <v>54</v>
      </c>
      <c r="K142" t="s">
        <v>21</v>
      </c>
      <c r="L142" t="s">
        <v>26</v>
      </c>
      <c r="M142">
        <v>2</v>
      </c>
      <c r="N142" t="s">
        <v>21</v>
      </c>
      <c r="O142">
        <v>10000</v>
      </c>
      <c r="P142" t="str" cm="1">
        <f t="array" ref="P142">_xlfn.IFS(Hospital_Patient[[#This Row],[Age]]&lt;=18,"Young",Hospital_Patient[[#This Row],[Age]]&lt;=36,"Adult",Hospital_Patient[[#This Row],[Age]]&lt;=60,"Middle Age",Hospital_Patient[[#This Row],[Age]]&gt;60,"Senior")</f>
        <v>Senior</v>
      </c>
      <c r="Q142" t="str" cm="1">
        <f t="array" ref="Q1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2">
        <f>YEAR(Hospital_Patient[[#This Row],[Discharge_Date]])</f>
        <v>2025</v>
      </c>
    </row>
    <row r="143" spans="1:18" x14ac:dyDescent="0.25">
      <c r="A143">
        <v>372</v>
      </c>
      <c r="B143">
        <v>35</v>
      </c>
      <c r="C143" t="s">
        <v>15</v>
      </c>
      <c r="D143" t="s">
        <v>27</v>
      </c>
      <c r="E143" t="s">
        <v>28</v>
      </c>
      <c r="F143" s="5">
        <v>45801</v>
      </c>
      <c r="G143" s="5">
        <v>45827</v>
      </c>
      <c r="H143" t="s">
        <v>29</v>
      </c>
      <c r="I143">
        <v>2025</v>
      </c>
      <c r="J143">
        <v>26</v>
      </c>
      <c r="K143" t="s">
        <v>21</v>
      </c>
      <c r="L143" t="s">
        <v>20</v>
      </c>
      <c r="M143">
        <v>5</v>
      </c>
      <c r="N143" t="s">
        <v>19</v>
      </c>
      <c r="O143">
        <v>500</v>
      </c>
      <c r="P143" t="str" cm="1">
        <f t="array" ref="P143">_xlfn.IFS(Hospital_Patient[[#This Row],[Age]]&lt;=18,"Young",Hospital_Patient[[#This Row],[Age]]&lt;=36,"Adult",Hospital_Patient[[#This Row],[Age]]&lt;=60,"Middle Age",Hospital_Patient[[#This Row],[Age]]&gt;60,"Senior")</f>
        <v>Adult</v>
      </c>
      <c r="Q143" t="str" cm="1">
        <f t="array" ref="Q1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43">
        <f>YEAR(Hospital_Patient[[#This Row],[Discharge_Date]])</f>
        <v>2025</v>
      </c>
    </row>
    <row r="144" spans="1:18" x14ac:dyDescent="0.25">
      <c r="A144">
        <v>945</v>
      </c>
      <c r="B144">
        <v>60</v>
      </c>
      <c r="C144" t="s">
        <v>15</v>
      </c>
      <c r="D144" t="s">
        <v>59</v>
      </c>
      <c r="E144" t="s">
        <v>60</v>
      </c>
      <c r="F144" s="5">
        <v>45756</v>
      </c>
      <c r="G144" s="5">
        <v>45824</v>
      </c>
      <c r="H144" t="s">
        <v>61</v>
      </c>
      <c r="I144">
        <v>2025</v>
      </c>
      <c r="J144">
        <v>68</v>
      </c>
      <c r="K144" t="s">
        <v>19</v>
      </c>
      <c r="L144" t="s">
        <v>26</v>
      </c>
      <c r="M144">
        <v>4</v>
      </c>
      <c r="N144" t="s">
        <v>19</v>
      </c>
      <c r="O144">
        <v>4000</v>
      </c>
      <c r="P144" t="str" cm="1">
        <f t="array" ref="P144">_xlfn.IFS(Hospital_Patient[[#This Row],[Age]]&lt;=18,"Young",Hospital_Patient[[#This Row],[Age]]&lt;=36,"Adult",Hospital_Patient[[#This Row],[Age]]&lt;=60,"Middle Age",Hospital_Patient[[#This Row],[Age]]&gt;60,"Senior")</f>
        <v>Middle Age</v>
      </c>
      <c r="Q144" t="str" cm="1">
        <f t="array" ref="Q1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44">
        <f>YEAR(Hospital_Patient[[#This Row],[Discharge_Date]])</f>
        <v>2025</v>
      </c>
    </row>
    <row r="145" spans="1:18" x14ac:dyDescent="0.25">
      <c r="A145">
        <v>553</v>
      </c>
      <c r="B145">
        <v>60</v>
      </c>
      <c r="C145" t="s">
        <v>15</v>
      </c>
      <c r="D145" t="s">
        <v>39</v>
      </c>
      <c r="E145" t="s">
        <v>40</v>
      </c>
      <c r="F145" s="5">
        <v>45779</v>
      </c>
      <c r="G145" s="5">
        <v>45822</v>
      </c>
      <c r="H145" t="s">
        <v>65</v>
      </c>
      <c r="I145">
        <v>2025</v>
      </c>
      <c r="J145">
        <v>43</v>
      </c>
      <c r="K145" t="s">
        <v>21</v>
      </c>
      <c r="L145" t="s">
        <v>20</v>
      </c>
      <c r="M145">
        <v>3</v>
      </c>
      <c r="N145" t="s">
        <v>19</v>
      </c>
      <c r="O145">
        <v>8000</v>
      </c>
      <c r="P145" t="str" cm="1">
        <f t="array" ref="P145">_xlfn.IFS(Hospital_Patient[[#This Row],[Age]]&lt;=18,"Young",Hospital_Patient[[#This Row],[Age]]&lt;=36,"Adult",Hospital_Patient[[#This Row],[Age]]&lt;=60,"Middle Age",Hospital_Patient[[#This Row],[Age]]&gt;60,"Senior")</f>
        <v>Middle Age</v>
      </c>
      <c r="Q145" t="str" cm="1">
        <f t="array" ref="Q1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5">
        <f>YEAR(Hospital_Patient[[#This Row],[Discharge_Date]])</f>
        <v>2025</v>
      </c>
    </row>
    <row r="146" spans="1:18" x14ac:dyDescent="0.25">
      <c r="A146">
        <v>532</v>
      </c>
      <c r="B146">
        <v>48</v>
      </c>
      <c r="C146" t="s">
        <v>15</v>
      </c>
      <c r="D146" t="s">
        <v>16</v>
      </c>
      <c r="E146" t="s">
        <v>17</v>
      </c>
      <c r="F146" s="5">
        <v>45779</v>
      </c>
      <c r="G146" s="5">
        <v>45820</v>
      </c>
      <c r="H146" t="s">
        <v>69</v>
      </c>
      <c r="I146">
        <v>2025</v>
      </c>
      <c r="J146">
        <v>41</v>
      </c>
      <c r="K146" t="s">
        <v>21</v>
      </c>
      <c r="L146" t="s">
        <v>20</v>
      </c>
      <c r="M146">
        <v>4</v>
      </c>
      <c r="N146" t="s">
        <v>19</v>
      </c>
      <c r="O146">
        <v>15000</v>
      </c>
      <c r="P146" t="str" cm="1">
        <f t="array" ref="P146">_xlfn.IFS(Hospital_Patient[[#This Row],[Age]]&lt;=18,"Young",Hospital_Patient[[#This Row],[Age]]&lt;=36,"Adult",Hospital_Patient[[#This Row],[Age]]&lt;=60,"Middle Age",Hospital_Patient[[#This Row],[Age]]&gt;60,"Senior")</f>
        <v>Middle Age</v>
      </c>
      <c r="Q146" t="str" cm="1">
        <f t="array" ref="Q1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6">
        <f>YEAR(Hospital_Patient[[#This Row],[Discharge_Date]])</f>
        <v>2025</v>
      </c>
    </row>
    <row r="147" spans="1:18" hidden="1" x14ac:dyDescent="0.25">
      <c r="A147">
        <v>604</v>
      </c>
      <c r="B147">
        <v>55</v>
      </c>
      <c r="C147" t="s">
        <v>22</v>
      </c>
      <c r="D147" t="s">
        <v>57</v>
      </c>
      <c r="E147" t="s">
        <v>58</v>
      </c>
      <c r="F147" s="5">
        <v>45776</v>
      </c>
      <c r="G147" s="5">
        <v>45820</v>
      </c>
      <c r="H147" t="s">
        <v>44</v>
      </c>
      <c r="I147">
        <v>2025</v>
      </c>
      <c r="J147">
        <v>44</v>
      </c>
      <c r="K147" t="s">
        <v>19</v>
      </c>
      <c r="L147" t="s">
        <v>20</v>
      </c>
      <c r="M147">
        <v>3</v>
      </c>
      <c r="N147" t="s">
        <v>19</v>
      </c>
      <c r="O147">
        <v>6000</v>
      </c>
      <c r="P147" t="str" cm="1">
        <f t="array" ref="P147">_xlfn.IFS(Hospital_Patient[[#This Row],[Age]]&lt;=18,"Young",Hospital_Patient[[#This Row],[Age]]&lt;=36,"Adult",Hospital_Patient[[#This Row],[Age]]&lt;=60,"Middle Age",Hospital_Patient[[#This Row],[Age]]&gt;60,"Senior")</f>
        <v>Middle Age</v>
      </c>
      <c r="Q147" t="str" cm="1">
        <f t="array" ref="Q1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7">
        <f>YEAR(Hospital_Patient[[#This Row],[Discharge_Date]])</f>
        <v>2025</v>
      </c>
    </row>
    <row r="148" spans="1:18" x14ac:dyDescent="0.25">
      <c r="A148">
        <v>146</v>
      </c>
      <c r="B148">
        <v>35</v>
      </c>
      <c r="C148" t="s">
        <v>15</v>
      </c>
      <c r="D148" t="s">
        <v>54</v>
      </c>
      <c r="E148" t="s">
        <v>55</v>
      </c>
      <c r="F148" s="5">
        <v>45807</v>
      </c>
      <c r="G148" s="5">
        <v>45819</v>
      </c>
      <c r="H148" t="s">
        <v>78</v>
      </c>
      <c r="I148">
        <v>2025</v>
      </c>
      <c r="J148">
        <v>12</v>
      </c>
      <c r="K148" t="s">
        <v>19</v>
      </c>
      <c r="L148" t="s">
        <v>20</v>
      </c>
      <c r="M148">
        <v>4</v>
      </c>
      <c r="N148" t="s">
        <v>19</v>
      </c>
      <c r="O148">
        <v>12000</v>
      </c>
      <c r="P148" t="str" cm="1">
        <f t="array" ref="P148">_xlfn.IFS(Hospital_Patient[[#This Row],[Age]]&lt;=18,"Young",Hospital_Patient[[#This Row],[Age]]&lt;=36,"Adult",Hospital_Patient[[#This Row],[Age]]&lt;=60,"Middle Age",Hospital_Patient[[#This Row],[Age]]&gt;60,"Senior")</f>
        <v>Adult</v>
      </c>
      <c r="Q148" t="str" cm="1">
        <f t="array" ref="Q1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48">
        <f>YEAR(Hospital_Patient[[#This Row],[Discharge_Date]])</f>
        <v>2025</v>
      </c>
    </row>
    <row r="149" spans="1:18" hidden="1" x14ac:dyDescent="0.25">
      <c r="A149">
        <v>521</v>
      </c>
      <c r="B149">
        <v>78</v>
      </c>
      <c r="C149" t="s">
        <v>22</v>
      </c>
      <c r="D149" t="s">
        <v>30</v>
      </c>
      <c r="E149" t="s">
        <v>31</v>
      </c>
      <c r="F149" s="5">
        <v>45776</v>
      </c>
      <c r="G149" s="5">
        <v>45819</v>
      </c>
      <c r="H149" t="s">
        <v>35</v>
      </c>
      <c r="I149">
        <v>2025</v>
      </c>
      <c r="J149">
        <v>43</v>
      </c>
      <c r="K149" t="s">
        <v>19</v>
      </c>
      <c r="L149" t="s">
        <v>26</v>
      </c>
      <c r="M149">
        <v>2</v>
      </c>
      <c r="N149" t="s">
        <v>21</v>
      </c>
      <c r="O149">
        <v>10000</v>
      </c>
      <c r="P149" t="str" cm="1">
        <f t="array" ref="P149">_xlfn.IFS(Hospital_Patient[[#This Row],[Age]]&lt;=18,"Young",Hospital_Patient[[#This Row],[Age]]&lt;=36,"Adult",Hospital_Patient[[#This Row],[Age]]&lt;=60,"Middle Age",Hospital_Patient[[#This Row],[Age]]&gt;60,"Senior")</f>
        <v>Senior</v>
      </c>
      <c r="Q149" t="str" cm="1">
        <f t="array" ref="Q1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49">
        <f>YEAR(Hospital_Patient[[#This Row],[Discharge_Date]])</f>
        <v>2025</v>
      </c>
    </row>
    <row r="150" spans="1:18" x14ac:dyDescent="0.25">
      <c r="A150">
        <v>435</v>
      </c>
      <c r="B150">
        <v>60</v>
      </c>
      <c r="C150" t="s">
        <v>15</v>
      </c>
      <c r="D150" t="s">
        <v>39</v>
      </c>
      <c r="E150" t="s">
        <v>40</v>
      </c>
      <c r="F150" s="5">
        <v>45785</v>
      </c>
      <c r="G150" s="5">
        <v>45818</v>
      </c>
      <c r="H150" t="s">
        <v>18</v>
      </c>
      <c r="I150">
        <v>2025</v>
      </c>
      <c r="J150">
        <v>33</v>
      </c>
      <c r="K150" t="s">
        <v>21</v>
      </c>
      <c r="L150" t="s">
        <v>20</v>
      </c>
      <c r="M150">
        <v>3</v>
      </c>
      <c r="N150" t="s">
        <v>19</v>
      </c>
      <c r="O150">
        <v>8000</v>
      </c>
      <c r="P150" t="str" cm="1">
        <f t="array" ref="P150">_xlfn.IFS(Hospital_Patient[[#This Row],[Age]]&lt;=18,"Young",Hospital_Patient[[#This Row],[Age]]&lt;=36,"Adult",Hospital_Patient[[#This Row],[Age]]&lt;=60,"Middle Age",Hospital_Patient[[#This Row],[Age]]&gt;60,"Senior")</f>
        <v>Middle Age</v>
      </c>
      <c r="Q150" t="str" cm="1">
        <f t="array" ref="Q1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50">
        <f>YEAR(Hospital_Patient[[#This Row],[Discharge_Date]])</f>
        <v>2025</v>
      </c>
    </row>
    <row r="151" spans="1:18" x14ac:dyDescent="0.25">
      <c r="A151">
        <v>321</v>
      </c>
      <c r="B151">
        <v>52</v>
      </c>
      <c r="C151" t="s">
        <v>15</v>
      </c>
      <c r="D151" t="s">
        <v>49</v>
      </c>
      <c r="E151" t="s">
        <v>50</v>
      </c>
      <c r="F151" s="5">
        <v>45792</v>
      </c>
      <c r="G151" s="5">
        <v>45815</v>
      </c>
      <c r="H151" t="s">
        <v>66</v>
      </c>
      <c r="I151">
        <v>2025</v>
      </c>
      <c r="J151">
        <v>23</v>
      </c>
      <c r="K151" t="s">
        <v>19</v>
      </c>
      <c r="L151" t="s">
        <v>26</v>
      </c>
      <c r="M151">
        <v>4</v>
      </c>
      <c r="N151" t="s">
        <v>21</v>
      </c>
      <c r="O151">
        <v>800</v>
      </c>
      <c r="P151" t="str" cm="1">
        <f t="array" ref="P151">_xlfn.IFS(Hospital_Patient[[#This Row],[Age]]&lt;=18,"Young",Hospital_Patient[[#This Row],[Age]]&lt;=36,"Adult",Hospital_Patient[[#This Row],[Age]]&lt;=60,"Middle Age",Hospital_Patient[[#This Row],[Age]]&gt;60,"Senior")</f>
        <v>Middle Age</v>
      </c>
      <c r="Q151" t="str" cm="1">
        <f t="array" ref="Q1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51">
        <f>YEAR(Hospital_Patient[[#This Row],[Discharge_Date]])</f>
        <v>2025</v>
      </c>
    </row>
    <row r="152" spans="1:18" hidden="1" x14ac:dyDescent="0.25">
      <c r="A152">
        <v>786</v>
      </c>
      <c r="B152">
        <v>78</v>
      </c>
      <c r="C152" t="s">
        <v>22</v>
      </c>
      <c r="D152" t="s">
        <v>30</v>
      </c>
      <c r="E152" t="s">
        <v>31</v>
      </c>
      <c r="F152" s="5">
        <v>45753</v>
      </c>
      <c r="G152" s="5">
        <v>45814</v>
      </c>
      <c r="H152" t="s">
        <v>35</v>
      </c>
      <c r="I152">
        <v>2025</v>
      </c>
      <c r="J152">
        <v>61</v>
      </c>
      <c r="K152" t="s">
        <v>19</v>
      </c>
      <c r="L152" t="s">
        <v>26</v>
      </c>
      <c r="M152">
        <v>2</v>
      </c>
      <c r="N152" t="s">
        <v>21</v>
      </c>
      <c r="O152">
        <v>10000</v>
      </c>
      <c r="P152" t="str" cm="1">
        <f t="array" ref="P152">_xlfn.IFS(Hospital_Patient[[#This Row],[Age]]&lt;=18,"Young",Hospital_Patient[[#This Row],[Age]]&lt;=36,"Adult",Hospital_Patient[[#This Row],[Age]]&lt;=60,"Middle Age",Hospital_Patient[[#This Row],[Age]]&gt;60,"Senior")</f>
        <v>Senior</v>
      </c>
      <c r="Q152" t="str" cm="1">
        <f t="array" ref="Q1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52">
        <f>YEAR(Hospital_Patient[[#This Row],[Discharge_Date]])</f>
        <v>2025</v>
      </c>
    </row>
    <row r="153" spans="1:18" x14ac:dyDescent="0.25">
      <c r="A153">
        <v>406</v>
      </c>
      <c r="B153">
        <v>60</v>
      </c>
      <c r="C153" t="s">
        <v>15</v>
      </c>
      <c r="D153" t="s">
        <v>39</v>
      </c>
      <c r="E153" t="s">
        <v>40</v>
      </c>
      <c r="F153" s="5">
        <v>45781</v>
      </c>
      <c r="G153" s="5">
        <v>45812</v>
      </c>
      <c r="H153" t="s">
        <v>73</v>
      </c>
      <c r="I153">
        <v>2025</v>
      </c>
      <c r="J153">
        <v>31</v>
      </c>
      <c r="K153" t="s">
        <v>21</v>
      </c>
      <c r="L153" t="s">
        <v>20</v>
      </c>
      <c r="M153">
        <v>3</v>
      </c>
      <c r="N153" t="s">
        <v>19</v>
      </c>
      <c r="O153">
        <v>8000</v>
      </c>
      <c r="P153" t="str" cm="1">
        <f t="array" ref="P153">_xlfn.IFS(Hospital_Patient[[#This Row],[Age]]&lt;=18,"Young",Hospital_Patient[[#This Row],[Age]]&lt;=36,"Adult",Hospital_Patient[[#This Row],[Age]]&lt;=60,"Middle Age",Hospital_Patient[[#This Row],[Age]]&gt;60,"Senior")</f>
        <v>Middle Age</v>
      </c>
      <c r="Q153" t="str" cm="1">
        <f t="array" ref="Q1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53">
        <f>YEAR(Hospital_Patient[[#This Row],[Discharge_Date]])</f>
        <v>2025</v>
      </c>
    </row>
    <row r="154" spans="1:18" hidden="1" x14ac:dyDescent="0.25">
      <c r="A154">
        <v>737</v>
      </c>
      <c r="B154">
        <v>50</v>
      </c>
      <c r="C154" t="s">
        <v>22</v>
      </c>
      <c r="D154" t="s">
        <v>57</v>
      </c>
      <c r="E154" t="s">
        <v>58</v>
      </c>
      <c r="F154" s="5">
        <v>45758</v>
      </c>
      <c r="G154" s="5">
        <v>45811</v>
      </c>
      <c r="H154" t="s">
        <v>44</v>
      </c>
      <c r="I154">
        <v>2025</v>
      </c>
      <c r="J154">
        <v>53</v>
      </c>
      <c r="K154" t="s">
        <v>19</v>
      </c>
      <c r="L154" t="s">
        <v>20</v>
      </c>
      <c r="M154">
        <v>3</v>
      </c>
      <c r="N154" t="s">
        <v>21</v>
      </c>
      <c r="O154">
        <v>6000</v>
      </c>
      <c r="P154" t="str" cm="1">
        <f t="array" ref="P154">_xlfn.IFS(Hospital_Patient[[#This Row],[Age]]&lt;=18,"Young",Hospital_Patient[[#This Row],[Age]]&lt;=36,"Adult",Hospital_Patient[[#This Row],[Age]]&lt;=60,"Middle Age",Hospital_Patient[[#This Row],[Age]]&gt;60,"Senior")</f>
        <v>Middle Age</v>
      </c>
      <c r="Q154" t="str" cm="1">
        <f t="array" ref="Q1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54">
        <f>YEAR(Hospital_Patient[[#This Row],[Discharge_Date]])</f>
        <v>2025</v>
      </c>
    </row>
    <row r="155" spans="1:18" x14ac:dyDescent="0.25">
      <c r="A155">
        <v>89</v>
      </c>
      <c r="B155">
        <v>60</v>
      </c>
      <c r="C155" t="s">
        <v>15</v>
      </c>
      <c r="D155" t="s">
        <v>59</v>
      </c>
      <c r="E155" t="s">
        <v>60</v>
      </c>
      <c r="F155" s="5">
        <v>45800</v>
      </c>
      <c r="G155" s="5">
        <v>45810</v>
      </c>
      <c r="H155" t="s">
        <v>61</v>
      </c>
      <c r="I155">
        <v>2025</v>
      </c>
      <c r="J155">
        <v>10</v>
      </c>
      <c r="K155" t="s">
        <v>19</v>
      </c>
      <c r="L155" t="s">
        <v>26</v>
      </c>
      <c r="M155">
        <v>4</v>
      </c>
      <c r="N155" t="s">
        <v>21</v>
      </c>
      <c r="O155">
        <v>4000</v>
      </c>
      <c r="P155" t="str" cm="1">
        <f t="array" ref="P155">_xlfn.IFS(Hospital_Patient[[#This Row],[Age]]&lt;=18,"Young",Hospital_Patient[[#This Row],[Age]]&lt;=36,"Adult",Hospital_Patient[[#This Row],[Age]]&lt;=60,"Middle Age",Hospital_Patient[[#This Row],[Age]]&gt;60,"Senior")</f>
        <v>Middle Age</v>
      </c>
      <c r="Q155" t="str" cm="1">
        <f t="array" ref="Q1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55">
        <f>YEAR(Hospital_Patient[[#This Row],[Discharge_Date]])</f>
        <v>2025</v>
      </c>
    </row>
    <row r="156" spans="1:18" hidden="1" x14ac:dyDescent="0.25">
      <c r="A156">
        <v>575</v>
      </c>
      <c r="B156">
        <v>55</v>
      </c>
      <c r="C156" t="s">
        <v>22</v>
      </c>
      <c r="D156" t="s">
        <v>57</v>
      </c>
      <c r="E156" t="s">
        <v>58</v>
      </c>
      <c r="F156" s="5">
        <v>45767</v>
      </c>
      <c r="G156" s="5">
        <v>45809</v>
      </c>
      <c r="H156" t="s">
        <v>77</v>
      </c>
      <c r="I156">
        <v>2025</v>
      </c>
      <c r="J156">
        <v>42</v>
      </c>
      <c r="K156" t="s">
        <v>19</v>
      </c>
      <c r="L156" t="s">
        <v>20</v>
      </c>
      <c r="M156">
        <v>3</v>
      </c>
      <c r="N156" t="s">
        <v>19</v>
      </c>
      <c r="O156">
        <v>6000</v>
      </c>
      <c r="P156" t="str" cm="1">
        <f t="array" ref="P156">_xlfn.IFS(Hospital_Patient[[#This Row],[Age]]&lt;=18,"Young",Hospital_Patient[[#This Row],[Age]]&lt;=36,"Adult",Hospital_Patient[[#This Row],[Age]]&lt;=60,"Middle Age",Hospital_Patient[[#This Row],[Age]]&gt;60,"Senior")</f>
        <v>Middle Age</v>
      </c>
      <c r="Q156" t="str" cm="1">
        <f t="array" ref="Q1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56">
        <f>YEAR(Hospital_Patient[[#This Row],[Discharge_Date]])</f>
        <v>2025</v>
      </c>
    </row>
    <row r="157" spans="1:18" x14ac:dyDescent="0.25">
      <c r="A157">
        <v>85</v>
      </c>
      <c r="B157">
        <v>52</v>
      </c>
      <c r="C157" t="s">
        <v>15</v>
      </c>
      <c r="D157" t="s">
        <v>49</v>
      </c>
      <c r="E157" t="s">
        <v>50</v>
      </c>
      <c r="F157" s="5">
        <v>45801</v>
      </c>
      <c r="G157" s="5">
        <v>45808</v>
      </c>
      <c r="H157" t="s">
        <v>64</v>
      </c>
      <c r="I157">
        <v>2025</v>
      </c>
      <c r="J157">
        <v>7</v>
      </c>
      <c r="K157" t="s">
        <v>19</v>
      </c>
      <c r="L157" t="s">
        <v>26</v>
      </c>
      <c r="M157">
        <v>4</v>
      </c>
      <c r="N157" t="s">
        <v>21</v>
      </c>
      <c r="O157">
        <v>800</v>
      </c>
      <c r="P157" t="str" cm="1">
        <f t="array" ref="P157">_xlfn.IFS(Hospital_Patient[[#This Row],[Age]]&lt;=18,"Young",Hospital_Patient[[#This Row],[Age]]&lt;=36,"Adult",Hospital_Patient[[#This Row],[Age]]&lt;=60,"Middle Age",Hospital_Patient[[#This Row],[Age]]&gt;60,"Senior")</f>
        <v>Middle Age</v>
      </c>
      <c r="Q157" t="str" cm="1">
        <f t="array" ref="Q1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57">
        <f>YEAR(Hospital_Patient[[#This Row],[Discharge_Date]])</f>
        <v>2025</v>
      </c>
    </row>
    <row r="158" spans="1:18" x14ac:dyDescent="0.25">
      <c r="A158">
        <v>298</v>
      </c>
      <c r="B158">
        <v>30</v>
      </c>
      <c r="C158" t="s">
        <v>15</v>
      </c>
      <c r="D158" t="s">
        <v>27</v>
      </c>
      <c r="E158" t="s">
        <v>28</v>
      </c>
      <c r="F158" s="5">
        <v>45787</v>
      </c>
      <c r="G158" s="5">
        <v>45808</v>
      </c>
      <c r="H158" t="s">
        <v>77</v>
      </c>
      <c r="I158">
        <v>2025</v>
      </c>
      <c r="J158">
        <v>21</v>
      </c>
      <c r="K158" t="s">
        <v>19</v>
      </c>
      <c r="L158" t="s">
        <v>20</v>
      </c>
      <c r="M158">
        <v>5</v>
      </c>
      <c r="N158" t="s">
        <v>19</v>
      </c>
      <c r="O158">
        <v>500</v>
      </c>
      <c r="P158" t="str" cm="1">
        <f t="array" ref="P158">_xlfn.IFS(Hospital_Patient[[#This Row],[Age]]&lt;=18,"Young",Hospital_Patient[[#This Row],[Age]]&lt;=36,"Adult",Hospital_Patient[[#This Row],[Age]]&lt;=60,"Middle Age",Hospital_Patient[[#This Row],[Age]]&gt;60,"Senior")</f>
        <v>Adult</v>
      </c>
      <c r="Q158" t="str" cm="1">
        <f t="array" ref="Q1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58">
        <f>YEAR(Hospital_Patient[[#This Row],[Discharge_Date]])</f>
        <v>2025</v>
      </c>
    </row>
    <row r="159" spans="1:18" x14ac:dyDescent="0.25">
      <c r="A159">
        <v>357</v>
      </c>
      <c r="B159">
        <v>30</v>
      </c>
      <c r="C159" t="s">
        <v>15</v>
      </c>
      <c r="D159" t="s">
        <v>27</v>
      </c>
      <c r="E159" t="s">
        <v>28</v>
      </c>
      <c r="F159" s="5">
        <v>45780</v>
      </c>
      <c r="G159" s="5">
        <v>45805</v>
      </c>
      <c r="H159" t="s">
        <v>70</v>
      </c>
      <c r="I159">
        <v>2025</v>
      </c>
      <c r="J159">
        <v>25</v>
      </c>
      <c r="K159" t="s">
        <v>19</v>
      </c>
      <c r="L159" t="s">
        <v>20</v>
      </c>
      <c r="M159">
        <v>5</v>
      </c>
      <c r="N159" t="s">
        <v>19</v>
      </c>
      <c r="O159">
        <v>500</v>
      </c>
      <c r="P159" t="str" cm="1">
        <f t="array" ref="P159">_xlfn.IFS(Hospital_Patient[[#This Row],[Age]]&lt;=18,"Young",Hospital_Patient[[#This Row],[Age]]&lt;=36,"Adult",Hospital_Patient[[#This Row],[Age]]&lt;=60,"Middle Age",Hospital_Patient[[#This Row],[Age]]&gt;60,"Senior")</f>
        <v>Adult</v>
      </c>
      <c r="Q159" t="str" cm="1">
        <f t="array" ref="Q1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59">
        <f>YEAR(Hospital_Patient[[#This Row],[Discharge_Date]])</f>
        <v>2025</v>
      </c>
    </row>
    <row r="160" spans="1:18" x14ac:dyDescent="0.25">
      <c r="A160">
        <v>31</v>
      </c>
      <c r="B160">
        <v>48</v>
      </c>
      <c r="C160" t="s">
        <v>15</v>
      </c>
      <c r="D160" t="s">
        <v>16</v>
      </c>
      <c r="E160" t="s">
        <v>17</v>
      </c>
      <c r="F160" s="5">
        <v>45795</v>
      </c>
      <c r="G160" s="5">
        <v>45802</v>
      </c>
      <c r="H160" t="s">
        <v>70</v>
      </c>
      <c r="I160">
        <v>2025</v>
      </c>
      <c r="J160">
        <v>7</v>
      </c>
      <c r="K160" t="s">
        <v>21</v>
      </c>
      <c r="L160" t="s">
        <v>20</v>
      </c>
      <c r="M160">
        <v>4</v>
      </c>
      <c r="N160" t="s">
        <v>21</v>
      </c>
      <c r="O160">
        <v>15000</v>
      </c>
      <c r="P160" t="str" cm="1">
        <f t="array" ref="P160">_xlfn.IFS(Hospital_Patient[[#This Row],[Age]]&lt;=18,"Young",Hospital_Patient[[#This Row],[Age]]&lt;=36,"Adult",Hospital_Patient[[#This Row],[Age]]&lt;=60,"Middle Age",Hospital_Patient[[#This Row],[Age]]&gt;60,"Senior")</f>
        <v>Middle Age</v>
      </c>
      <c r="Q160" t="str" cm="1">
        <f t="array" ref="Q1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60">
        <f>YEAR(Hospital_Patient[[#This Row],[Discharge_Date]])</f>
        <v>2025</v>
      </c>
    </row>
    <row r="161" spans="1:18" x14ac:dyDescent="0.25">
      <c r="A161">
        <v>889</v>
      </c>
      <c r="B161">
        <v>30</v>
      </c>
      <c r="C161" t="s">
        <v>15</v>
      </c>
      <c r="D161" t="s">
        <v>27</v>
      </c>
      <c r="E161" t="s">
        <v>28</v>
      </c>
      <c r="F161" s="5">
        <v>45740</v>
      </c>
      <c r="G161" s="5">
        <v>45801</v>
      </c>
      <c r="H161" t="s">
        <v>70</v>
      </c>
      <c r="I161">
        <v>2025</v>
      </c>
      <c r="J161">
        <v>61</v>
      </c>
      <c r="K161" t="s">
        <v>19</v>
      </c>
      <c r="L161" t="s">
        <v>20</v>
      </c>
      <c r="M161">
        <v>5</v>
      </c>
      <c r="N161" t="s">
        <v>21</v>
      </c>
      <c r="O161">
        <v>500</v>
      </c>
      <c r="P161" t="str" cm="1">
        <f t="array" ref="P161">_xlfn.IFS(Hospital_Patient[[#This Row],[Age]]&lt;=18,"Young",Hospital_Patient[[#This Row],[Age]]&lt;=36,"Adult",Hospital_Patient[[#This Row],[Age]]&lt;=60,"Middle Age",Hospital_Patient[[#This Row],[Age]]&gt;60,"Senior")</f>
        <v>Adult</v>
      </c>
      <c r="Q161" t="str" cm="1">
        <f t="array" ref="Q1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61">
        <f>YEAR(Hospital_Patient[[#This Row],[Discharge_Date]])</f>
        <v>2025</v>
      </c>
    </row>
    <row r="162" spans="1:18" x14ac:dyDescent="0.25">
      <c r="A162">
        <v>125</v>
      </c>
      <c r="B162">
        <v>45</v>
      </c>
      <c r="C162" t="s">
        <v>15</v>
      </c>
      <c r="D162" t="s">
        <v>39</v>
      </c>
      <c r="E162" t="s">
        <v>40</v>
      </c>
      <c r="F162" s="5">
        <v>45787</v>
      </c>
      <c r="G162" s="5">
        <v>45799</v>
      </c>
      <c r="H162" t="s">
        <v>41</v>
      </c>
      <c r="I162">
        <v>2025</v>
      </c>
      <c r="J162">
        <v>12</v>
      </c>
      <c r="K162" t="s">
        <v>19</v>
      </c>
      <c r="L162" t="s">
        <v>20</v>
      </c>
      <c r="M162">
        <v>3</v>
      </c>
      <c r="N162" t="s">
        <v>19</v>
      </c>
      <c r="O162">
        <v>8000</v>
      </c>
      <c r="P162" t="str" cm="1">
        <f t="array" ref="P162">_xlfn.IFS(Hospital_Patient[[#This Row],[Age]]&lt;=18,"Young",Hospital_Patient[[#This Row],[Age]]&lt;=36,"Adult",Hospital_Patient[[#This Row],[Age]]&lt;=60,"Middle Age",Hospital_Patient[[#This Row],[Age]]&gt;60,"Senior")</f>
        <v>Middle Age</v>
      </c>
      <c r="Q162" t="str" cm="1">
        <f t="array" ref="Q1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62">
        <f>YEAR(Hospital_Patient[[#This Row],[Discharge_Date]])</f>
        <v>2025</v>
      </c>
    </row>
    <row r="163" spans="1:18" x14ac:dyDescent="0.25">
      <c r="A163">
        <v>494</v>
      </c>
      <c r="B163">
        <v>60</v>
      </c>
      <c r="C163" t="s">
        <v>15</v>
      </c>
      <c r="D163" t="s">
        <v>39</v>
      </c>
      <c r="E163" t="s">
        <v>40</v>
      </c>
      <c r="F163" s="5">
        <v>45762</v>
      </c>
      <c r="G163" s="5">
        <v>45799</v>
      </c>
      <c r="H163" t="s">
        <v>18</v>
      </c>
      <c r="I163">
        <v>2025</v>
      </c>
      <c r="J163">
        <v>37</v>
      </c>
      <c r="K163" t="s">
        <v>21</v>
      </c>
      <c r="L163" t="s">
        <v>20</v>
      </c>
      <c r="M163">
        <v>3</v>
      </c>
      <c r="N163" t="s">
        <v>21</v>
      </c>
      <c r="O163">
        <v>8000</v>
      </c>
      <c r="P163" t="str" cm="1">
        <f t="array" ref="P163">_xlfn.IFS(Hospital_Patient[[#This Row],[Age]]&lt;=18,"Young",Hospital_Patient[[#This Row],[Age]]&lt;=36,"Adult",Hospital_Patient[[#This Row],[Age]]&lt;=60,"Middle Age",Hospital_Patient[[#This Row],[Age]]&gt;60,"Senior")</f>
        <v>Middle Age</v>
      </c>
      <c r="Q163" t="str" cm="1">
        <f t="array" ref="Q1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63">
        <f>YEAR(Hospital_Patient[[#This Row],[Discharge_Date]])</f>
        <v>2025</v>
      </c>
    </row>
    <row r="164" spans="1:18" x14ac:dyDescent="0.25">
      <c r="A164">
        <v>839</v>
      </c>
      <c r="B164">
        <v>32</v>
      </c>
      <c r="C164" t="s">
        <v>15</v>
      </c>
      <c r="D164" t="s">
        <v>54</v>
      </c>
      <c r="E164" t="s">
        <v>55</v>
      </c>
      <c r="F164" s="5">
        <v>45740</v>
      </c>
      <c r="G164" s="5">
        <v>45799</v>
      </c>
      <c r="H164" t="s">
        <v>78</v>
      </c>
      <c r="I164">
        <v>2025</v>
      </c>
      <c r="J164">
        <v>59</v>
      </c>
      <c r="K164" t="s">
        <v>19</v>
      </c>
      <c r="L164" t="s">
        <v>20</v>
      </c>
      <c r="M164">
        <v>4</v>
      </c>
      <c r="N164" t="s">
        <v>21</v>
      </c>
      <c r="O164">
        <v>12000</v>
      </c>
      <c r="P164" t="str" cm="1">
        <f t="array" ref="P164">_xlfn.IFS(Hospital_Patient[[#This Row],[Age]]&lt;=18,"Young",Hospital_Patient[[#This Row],[Age]]&lt;=36,"Adult",Hospital_Patient[[#This Row],[Age]]&lt;=60,"Middle Age",Hospital_Patient[[#This Row],[Age]]&gt;60,"Senior")</f>
        <v>Adult</v>
      </c>
      <c r="Q164" t="str" cm="1">
        <f t="array" ref="Q1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64">
        <f>YEAR(Hospital_Patient[[#This Row],[Discharge_Date]])</f>
        <v>2025</v>
      </c>
    </row>
    <row r="165" spans="1:18" x14ac:dyDescent="0.25">
      <c r="A165">
        <v>924</v>
      </c>
      <c r="B165">
        <v>78</v>
      </c>
      <c r="C165" t="s">
        <v>15</v>
      </c>
      <c r="D165" t="s">
        <v>45</v>
      </c>
      <c r="E165" t="s">
        <v>46</v>
      </c>
      <c r="F165" s="5">
        <v>45729</v>
      </c>
      <c r="G165" s="5">
        <v>45799</v>
      </c>
      <c r="H165" t="s">
        <v>18</v>
      </c>
      <c r="I165">
        <v>2025</v>
      </c>
      <c r="J165">
        <v>70</v>
      </c>
      <c r="K165" t="s">
        <v>21</v>
      </c>
      <c r="L165" t="s">
        <v>26</v>
      </c>
      <c r="M165">
        <v>2</v>
      </c>
      <c r="N165" t="s">
        <v>19</v>
      </c>
      <c r="O165">
        <v>18000</v>
      </c>
      <c r="P165" t="str" cm="1">
        <f t="array" ref="P165">_xlfn.IFS(Hospital_Patient[[#This Row],[Age]]&lt;=18,"Young",Hospital_Patient[[#This Row],[Age]]&lt;=36,"Adult",Hospital_Patient[[#This Row],[Age]]&lt;=60,"Middle Age",Hospital_Patient[[#This Row],[Age]]&gt;60,"Senior")</f>
        <v>Senior</v>
      </c>
      <c r="Q165" t="str" cm="1">
        <f t="array" ref="Q1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65">
        <f>YEAR(Hospital_Patient[[#This Row],[Discharge_Date]])</f>
        <v>2025</v>
      </c>
    </row>
    <row r="166" spans="1:18" x14ac:dyDescent="0.25">
      <c r="A166">
        <v>227</v>
      </c>
      <c r="B166">
        <v>53</v>
      </c>
      <c r="C166" t="s">
        <v>15</v>
      </c>
      <c r="D166" t="s">
        <v>33</v>
      </c>
      <c r="E166" t="s">
        <v>34</v>
      </c>
      <c r="F166" s="5">
        <v>45772</v>
      </c>
      <c r="G166" s="5">
        <v>45797</v>
      </c>
      <c r="H166" t="s">
        <v>69</v>
      </c>
      <c r="I166">
        <v>2025</v>
      </c>
      <c r="J166">
        <v>25</v>
      </c>
      <c r="K166" t="s">
        <v>21</v>
      </c>
      <c r="L166" t="s">
        <v>20</v>
      </c>
      <c r="M166">
        <v>4</v>
      </c>
      <c r="N166" t="s">
        <v>19</v>
      </c>
      <c r="O166">
        <v>25000</v>
      </c>
      <c r="P166" t="str" cm="1">
        <f t="array" ref="P166">_xlfn.IFS(Hospital_Patient[[#This Row],[Age]]&lt;=18,"Young",Hospital_Patient[[#This Row],[Age]]&lt;=36,"Adult",Hospital_Patient[[#This Row],[Age]]&lt;=60,"Middle Age",Hospital_Patient[[#This Row],[Age]]&gt;60,"Senior")</f>
        <v>Middle Age</v>
      </c>
      <c r="Q166" t="str" cm="1">
        <f t="array" ref="Q1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66">
        <f>YEAR(Hospital_Patient[[#This Row],[Discharge_Date]])</f>
        <v>2025</v>
      </c>
    </row>
    <row r="167" spans="1:18" hidden="1" x14ac:dyDescent="0.25">
      <c r="A167">
        <v>491</v>
      </c>
      <c r="B167">
        <v>78</v>
      </c>
      <c r="C167" t="s">
        <v>22</v>
      </c>
      <c r="D167" t="s">
        <v>30</v>
      </c>
      <c r="E167" t="s">
        <v>31</v>
      </c>
      <c r="F167" s="5">
        <v>45755</v>
      </c>
      <c r="G167" s="5">
        <v>45796</v>
      </c>
      <c r="H167" t="s">
        <v>32</v>
      </c>
      <c r="I167">
        <v>2025</v>
      </c>
      <c r="J167">
        <v>41</v>
      </c>
      <c r="K167" t="s">
        <v>19</v>
      </c>
      <c r="L167" t="s">
        <v>26</v>
      </c>
      <c r="M167">
        <v>2</v>
      </c>
      <c r="N167" t="s">
        <v>21</v>
      </c>
      <c r="O167">
        <v>10000</v>
      </c>
      <c r="P167" t="str" cm="1">
        <f t="array" ref="P167">_xlfn.IFS(Hospital_Patient[[#This Row],[Age]]&lt;=18,"Young",Hospital_Patient[[#This Row],[Age]]&lt;=36,"Adult",Hospital_Patient[[#This Row],[Age]]&lt;=60,"Middle Age",Hospital_Patient[[#This Row],[Age]]&gt;60,"Senior")</f>
        <v>Senior</v>
      </c>
      <c r="Q167" t="str" cm="1">
        <f t="array" ref="Q1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67">
        <f>YEAR(Hospital_Patient[[#This Row],[Discharge_Date]])</f>
        <v>2025</v>
      </c>
    </row>
    <row r="168" spans="1:18" x14ac:dyDescent="0.25">
      <c r="A168">
        <v>964</v>
      </c>
      <c r="B168">
        <v>53</v>
      </c>
      <c r="C168" t="s">
        <v>15</v>
      </c>
      <c r="D168" t="s">
        <v>33</v>
      </c>
      <c r="E168" t="s">
        <v>34</v>
      </c>
      <c r="F168" s="5">
        <v>45721</v>
      </c>
      <c r="G168" s="5">
        <v>45796</v>
      </c>
      <c r="H168" t="s">
        <v>64</v>
      </c>
      <c r="I168">
        <v>2025</v>
      </c>
      <c r="J168">
        <v>75</v>
      </c>
      <c r="K168" t="s">
        <v>21</v>
      </c>
      <c r="L168" t="s">
        <v>20</v>
      </c>
      <c r="M168">
        <v>4</v>
      </c>
      <c r="N168" t="s">
        <v>21</v>
      </c>
      <c r="O168">
        <v>25000</v>
      </c>
      <c r="P168" t="str" cm="1">
        <f t="array" ref="P168">_xlfn.IFS(Hospital_Patient[[#This Row],[Age]]&lt;=18,"Young",Hospital_Patient[[#This Row],[Age]]&lt;=36,"Adult",Hospital_Patient[[#This Row],[Age]]&lt;=60,"Middle Age",Hospital_Patient[[#This Row],[Age]]&gt;60,"Senior")</f>
        <v>Middle Age</v>
      </c>
      <c r="Q168" t="str" cm="1">
        <f t="array" ref="Q1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68">
        <f>YEAR(Hospital_Patient[[#This Row],[Discharge_Date]])</f>
        <v>2025</v>
      </c>
    </row>
    <row r="169" spans="1:18" hidden="1" x14ac:dyDescent="0.25">
      <c r="A169">
        <v>594</v>
      </c>
      <c r="B169">
        <v>70</v>
      </c>
      <c r="C169" t="s">
        <v>22</v>
      </c>
      <c r="D169" t="s">
        <v>30</v>
      </c>
      <c r="E169" t="s">
        <v>31</v>
      </c>
      <c r="F169" s="5">
        <v>45747</v>
      </c>
      <c r="G169" s="5">
        <v>45795</v>
      </c>
      <c r="H169" t="s">
        <v>63</v>
      </c>
      <c r="I169">
        <v>2025</v>
      </c>
      <c r="J169">
        <v>48</v>
      </c>
      <c r="K169" t="s">
        <v>21</v>
      </c>
      <c r="L169" t="s">
        <v>26</v>
      </c>
      <c r="M169">
        <v>2</v>
      </c>
      <c r="N169" t="s">
        <v>21</v>
      </c>
      <c r="O169">
        <v>10000</v>
      </c>
      <c r="P169" t="str" cm="1">
        <f t="array" ref="P169">_xlfn.IFS(Hospital_Patient[[#This Row],[Age]]&lt;=18,"Young",Hospital_Patient[[#This Row],[Age]]&lt;=36,"Adult",Hospital_Patient[[#This Row],[Age]]&lt;=60,"Middle Age",Hospital_Patient[[#This Row],[Age]]&gt;60,"Senior")</f>
        <v>Senior</v>
      </c>
      <c r="Q169" t="str" cm="1">
        <f t="array" ref="Q1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69">
        <f>YEAR(Hospital_Patient[[#This Row],[Discharge_Date]])</f>
        <v>2025</v>
      </c>
    </row>
    <row r="170" spans="1:18" hidden="1" x14ac:dyDescent="0.25">
      <c r="A170">
        <v>501</v>
      </c>
      <c r="B170">
        <v>50</v>
      </c>
      <c r="C170" t="s">
        <v>22</v>
      </c>
      <c r="D170" t="s">
        <v>57</v>
      </c>
      <c r="E170" t="s">
        <v>58</v>
      </c>
      <c r="F170" s="5">
        <v>45757</v>
      </c>
      <c r="G170" s="5">
        <v>45794</v>
      </c>
      <c r="H170" t="s">
        <v>77</v>
      </c>
      <c r="I170">
        <v>2025</v>
      </c>
      <c r="J170">
        <v>37</v>
      </c>
      <c r="K170" t="s">
        <v>19</v>
      </c>
      <c r="L170" t="s">
        <v>20</v>
      </c>
      <c r="M170">
        <v>3</v>
      </c>
      <c r="N170" t="s">
        <v>19</v>
      </c>
      <c r="O170">
        <v>6000</v>
      </c>
      <c r="P170" t="str" cm="1">
        <f t="array" ref="P170">_xlfn.IFS(Hospital_Patient[[#This Row],[Age]]&lt;=18,"Young",Hospital_Patient[[#This Row],[Age]]&lt;=36,"Adult",Hospital_Patient[[#This Row],[Age]]&lt;=60,"Middle Age",Hospital_Patient[[#This Row],[Age]]&gt;60,"Senior")</f>
        <v>Middle Age</v>
      </c>
      <c r="Q170" t="str" cm="1">
        <f t="array" ref="Q1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70">
        <f>YEAR(Hospital_Patient[[#This Row],[Discharge_Date]])</f>
        <v>2025</v>
      </c>
    </row>
    <row r="171" spans="1:18" hidden="1" x14ac:dyDescent="0.25">
      <c r="A171">
        <v>840</v>
      </c>
      <c r="B171">
        <v>55</v>
      </c>
      <c r="C171" t="s">
        <v>22</v>
      </c>
      <c r="D171" t="s">
        <v>57</v>
      </c>
      <c r="E171" t="s">
        <v>58</v>
      </c>
      <c r="F171" s="5">
        <v>45732</v>
      </c>
      <c r="G171" s="5">
        <v>45792</v>
      </c>
      <c r="H171" t="s">
        <v>44</v>
      </c>
      <c r="I171">
        <v>2025</v>
      </c>
      <c r="J171">
        <v>60</v>
      </c>
      <c r="K171" t="s">
        <v>19</v>
      </c>
      <c r="L171" t="s">
        <v>20</v>
      </c>
      <c r="M171">
        <v>3</v>
      </c>
      <c r="N171" t="s">
        <v>19</v>
      </c>
      <c r="O171">
        <v>6000</v>
      </c>
      <c r="P171" t="str" cm="1">
        <f t="array" ref="P171">_xlfn.IFS(Hospital_Patient[[#This Row],[Age]]&lt;=18,"Young",Hospital_Patient[[#This Row],[Age]]&lt;=36,"Adult",Hospital_Patient[[#This Row],[Age]]&lt;=60,"Middle Age",Hospital_Patient[[#This Row],[Age]]&gt;60,"Senior")</f>
        <v>Middle Age</v>
      </c>
      <c r="Q171" t="str" cm="1">
        <f t="array" ref="Q1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71">
        <f>YEAR(Hospital_Patient[[#This Row],[Discharge_Date]])</f>
        <v>2025</v>
      </c>
    </row>
    <row r="172" spans="1:18" hidden="1" x14ac:dyDescent="0.25">
      <c r="A172">
        <v>12</v>
      </c>
      <c r="B172">
        <v>65</v>
      </c>
      <c r="C172" t="s">
        <v>22</v>
      </c>
      <c r="D172" t="s">
        <v>52</v>
      </c>
      <c r="E172" t="s">
        <v>53</v>
      </c>
      <c r="F172" s="5">
        <v>45782</v>
      </c>
      <c r="G172" s="5">
        <v>45791</v>
      </c>
      <c r="H172" t="s">
        <v>51</v>
      </c>
      <c r="I172">
        <v>2025</v>
      </c>
      <c r="J172">
        <v>9</v>
      </c>
      <c r="K172" t="s">
        <v>19</v>
      </c>
      <c r="L172" t="s">
        <v>20</v>
      </c>
      <c r="M172">
        <v>3</v>
      </c>
      <c r="N172" t="s">
        <v>19</v>
      </c>
      <c r="O172">
        <v>20000</v>
      </c>
      <c r="P172" t="str" cm="1">
        <f t="array" ref="P172">_xlfn.IFS(Hospital_Patient[[#This Row],[Age]]&lt;=18,"Young",Hospital_Patient[[#This Row],[Age]]&lt;=36,"Adult",Hospital_Patient[[#This Row],[Age]]&lt;=60,"Middle Age",Hospital_Patient[[#This Row],[Age]]&gt;60,"Senior")</f>
        <v>Senior</v>
      </c>
      <c r="Q172" t="str" cm="1">
        <f t="array" ref="Q1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72">
        <f>YEAR(Hospital_Patient[[#This Row],[Discharge_Date]])</f>
        <v>2025</v>
      </c>
    </row>
    <row r="173" spans="1:18" hidden="1" x14ac:dyDescent="0.25">
      <c r="A173">
        <v>742</v>
      </c>
      <c r="B173">
        <v>70</v>
      </c>
      <c r="C173" t="s">
        <v>22</v>
      </c>
      <c r="D173" t="s">
        <v>30</v>
      </c>
      <c r="E173" t="s">
        <v>31</v>
      </c>
      <c r="F173" s="5">
        <v>45731</v>
      </c>
      <c r="G173" s="5">
        <v>45789</v>
      </c>
      <c r="H173" t="s">
        <v>63</v>
      </c>
      <c r="I173">
        <v>2025</v>
      </c>
      <c r="J173">
        <v>58</v>
      </c>
      <c r="K173" t="s">
        <v>21</v>
      </c>
      <c r="L173" t="s">
        <v>26</v>
      </c>
      <c r="M173">
        <v>2</v>
      </c>
      <c r="N173" t="s">
        <v>19</v>
      </c>
      <c r="O173">
        <v>10000</v>
      </c>
      <c r="P173" t="str" cm="1">
        <f t="array" ref="P173">_xlfn.IFS(Hospital_Patient[[#This Row],[Age]]&lt;=18,"Young",Hospital_Patient[[#This Row],[Age]]&lt;=36,"Adult",Hospital_Patient[[#This Row],[Age]]&lt;=60,"Middle Age",Hospital_Patient[[#This Row],[Age]]&gt;60,"Senior")</f>
        <v>Senior</v>
      </c>
      <c r="Q173" t="str" cm="1">
        <f t="array" ref="Q1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73">
        <f>YEAR(Hospital_Patient[[#This Row],[Discharge_Date]])</f>
        <v>2025</v>
      </c>
    </row>
    <row r="174" spans="1:18" hidden="1" x14ac:dyDescent="0.25">
      <c r="A174">
        <v>824</v>
      </c>
      <c r="B174">
        <v>67</v>
      </c>
      <c r="C174" t="s">
        <v>22</v>
      </c>
      <c r="D174" t="s">
        <v>52</v>
      </c>
      <c r="E174" t="s">
        <v>53</v>
      </c>
      <c r="F174" s="5">
        <v>45723</v>
      </c>
      <c r="G174" s="5">
        <v>45787</v>
      </c>
      <c r="H174" t="s">
        <v>51</v>
      </c>
      <c r="I174">
        <v>2025</v>
      </c>
      <c r="J174">
        <v>64</v>
      </c>
      <c r="K174" t="s">
        <v>19</v>
      </c>
      <c r="L174" t="s">
        <v>20</v>
      </c>
      <c r="M174">
        <v>3</v>
      </c>
      <c r="N174" t="s">
        <v>21</v>
      </c>
      <c r="O174">
        <v>20000</v>
      </c>
      <c r="P174" t="str" cm="1">
        <f t="array" ref="P174">_xlfn.IFS(Hospital_Patient[[#This Row],[Age]]&lt;=18,"Young",Hospital_Patient[[#This Row],[Age]]&lt;=36,"Adult",Hospital_Patient[[#This Row],[Age]]&lt;=60,"Middle Age",Hospital_Patient[[#This Row],[Age]]&gt;60,"Senior")</f>
        <v>Senior</v>
      </c>
      <c r="Q174" t="str" cm="1">
        <f t="array" ref="Q1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74">
        <f>YEAR(Hospital_Patient[[#This Row],[Discharge_Date]])</f>
        <v>2025</v>
      </c>
    </row>
    <row r="175" spans="1:18" x14ac:dyDescent="0.25">
      <c r="A175">
        <v>81</v>
      </c>
      <c r="B175">
        <v>60</v>
      </c>
      <c r="C175" t="s">
        <v>15</v>
      </c>
      <c r="D175" t="s">
        <v>39</v>
      </c>
      <c r="E175" t="s">
        <v>40</v>
      </c>
      <c r="F175" s="5">
        <v>45773</v>
      </c>
      <c r="G175" s="5">
        <v>45782</v>
      </c>
      <c r="H175" t="s">
        <v>41</v>
      </c>
      <c r="I175">
        <v>2025</v>
      </c>
      <c r="J175">
        <v>9</v>
      </c>
      <c r="K175" t="s">
        <v>21</v>
      </c>
      <c r="L175" t="s">
        <v>20</v>
      </c>
      <c r="M175">
        <v>3</v>
      </c>
      <c r="N175" t="s">
        <v>19</v>
      </c>
      <c r="O175">
        <v>8000</v>
      </c>
      <c r="P175" t="str" cm="1">
        <f t="array" ref="P175">_xlfn.IFS(Hospital_Patient[[#This Row],[Age]]&lt;=18,"Young",Hospital_Patient[[#This Row],[Age]]&lt;=36,"Adult",Hospital_Patient[[#This Row],[Age]]&lt;=60,"Middle Age",Hospital_Patient[[#This Row],[Age]]&gt;60,"Senior")</f>
        <v>Middle Age</v>
      </c>
      <c r="Q175" t="str" cm="1">
        <f t="array" ref="Q1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75">
        <f>YEAR(Hospital_Patient[[#This Row],[Discharge_Date]])</f>
        <v>2025</v>
      </c>
    </row>
    <row r="176" spans="1:18" hidden="1" x14ac:dyDescent="0.25">
      <c r="A176">
        <v>982</v>
      </c>
      <c r="B176">
        <v>40</v>
      </c>
      <c r="C176" t="s">
        <v>22</v>
      </c>
      <c r="D176" t="s">
        <v>42</v>
      </c>
      <c r="E176" t="s">
        <v>43</v>
      </c>
      <c r="F176" s="5">
        <v>45708</v>
      </c>
      <c r="G176" s="5">
        <v>45780</v>
      </c>
      <c r="H176" t="s">
        <v>71</v>
      </c>
      <c r="I176">
        <v>2025</v>
      </c>
      <c r="J176">
        <v>72</v>
      </c>
      <c r="K176" t="s">
        <v>19</v>
      </c>
      <c r="L176" t="s">
        <v>20</v>
      </c>
      <c r="M176">
        <v>4</v>
      </c>
      <c r="N176" t="s">
        <v>19</v>
      </c>
      <c r="O176">
        <v>3000</v>
      </c>
      <c r="P176" t="str" cm="1">
        <f t="array" ref="P176">_xlfn.IFS(Hospital_Patient[[#This Row],[Age]]&lt;=18,"Young",Hospital_Patient[[#This Row],[Age]]&lt;=36,"Adult",Hospital_Patient[[#This Row],[Age]]&lt;=60,"Middle Age",Hospital_Patient[[#This Row],[Age]]&gt;60,"Senior")</f>
        <v>Middle Age</v>
      </c>
      <c r="Q176" t="str" cm="1">
        <f t="array" ref="Q1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76">
        <f>YEAR(Hospital_Patient[[#This Row],[Discharge_Date]])</f>
        <v>2025</v>
      </c>
    </row>
    <row r="177" spans="1:18" hidden="1" x14ac:dyDescent="0.25">
      <c r="A177">
        <v>78</v>
      </c>
      <c r="B177">
        <v>78</v>
      </c>
      <c r="C177" t="s">
        <v>22</v>
      </c>
      <c r="D177" t="s">
        <v>30</v>
      </c>
      <c r="E177" t="s">
        <v>31</v>
      </c>
      <c r="F177" s="5">
        <v>45767</v>
      </c>
      <c r="G177" s="5">
        <v>45779</v>
      </c>
      <c r="H177" t="s">
        <v>32</v>
      </c>
      <c r="I177">
        <v>2025</v>
      </c>
      <c r="J177">
        <v>12</v>
      </c>
      <c r="K177" t="s">
        <v>19</v>
      </c>
      <c r="L177" t="s">
        <v>26</v>
      </c>
      <c r="M177">
        <v>2</v>
      </c>
      <c r="N177" t="s">
        <v>21</v>
      </c>
      <c r="O177">
        <v>10000</v>
      </c>
      <c r="P177" t="str" cm="1">
        <f t="array" ref="P177">_xlfn.IFS(Hospital_Patient[[#This Row],[Age]]&lt;=18,"Young",Hospital_Patient[[#This Row],[Age]]&lt;=36,"Adult",Hospital_Patient[[#This Row],[Age]]&lt;=60,"Middle Age",Hospital_Patient[[#This Row],[Age]]&gt;60,"Senior")</f>
        <v>Senior</v>
      </c>
      <c r="Q177" t="str" cm="1">
        <f t="array" ref="Q1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77">
        <f>YEAR(Hospital_Patient[[#This Row],[Discharge_Date]])</f>
        <v>2025</v>
      </c>
    </row>
    <row r="178" spans="1:18" hidden="1" x14ac:dyDescent="0.25">
      <c r="A178">
        <v>246</v>
      </c>
      <c r="B178">
        <v>25</v>
      </c>
      <c r="C178" t="s">
        <v>22</v>
      </c>
      <c r="D178" t="s">
        <v>47</v>
      </c>
      <c r="E178" t="s">
        <v>48</v>
      </c>
      <c r="F178" s="5">
        <v>45761</v>
      </c>
      <c r="G178" s="5">
        <v>45778</v>
      </c>
      <c r="H178" t="s">
        <v>74</v>
      </c>
      <c r="I178">
        <v>2025</v>
      </c>
      <c r="J178">
        <v>17</v>
      </c>
      <c r="K178" t="s">
        <v>19</v>
      </c>
      <c r="L178" t="s">
        <v>20</v>
      </c>
      <c r="M178">
        <v>5</v>
      </c>
      <c r="N178" t="s">
        <v>21</v>
      </c>
      <c r="O178">
        <v>100</v>
      </c>
      <c r="P178" t="str" cm="1">
        <f t="array" ref="P178">_xlfn.IFS(Hospital_Patient[[#This Row],[Age]]&lt;=18,"Young",Hospital_Patient[[#This Row],[Age]]&lt;=36,"Adult",Hospital_Patient[[#This Row],[Age]]&lt;=60,"Middle Age",Hospital_Patient[[#This Row],[Age]]&gt;60,"Senior")</f>
        <v>Adult</v>
      </c>
      <c r="Q178" t="str" cm="1">
        <f t="array" ref="Q1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78">
        <f>YEAR(Hospital_Patient[[#This Row],[Discharge_Date]])</f>
        <v>2025</v>
      </c>
    </row>
    <row r="179" spans="1:18" x14ac:dyDescent="0.25">
      <c r="A179">
        <v>376</v>
      </c>
      <c r="B179">
        <v>60</v>
      </c>
      <c r="C179" t="s">
        <v>15</v>
      </c>
      <c r="D179" t="s">
        <v>39</v>
      </c>
      <c r="E179" t="s">
        <v>40</v>
      </c>
      <c r="F179" s="5">
        <v>45749</v>
      </c>
      <c r="G179" s="5">
        <v>45778</v>
      </c>
      <c r="H179" t="s">
        <v>18</v>
      </c>
      <c r="I179">
        <v>2025</v>
      </c>
      <c r="J179">
        <v>29</v>
      </c>
      <c r="K179" t="s">
        <v>21</v>
      </c>
      <c r="L179" t="s">
        <v>20</v>
      </c>
      <c r="M179">
        <v>3</v>
      </c>
      <c r="N179" t="s">
        <v>19</v>
      </c>
      <c r="O179">
        <v>8000</v>
      </c>
      <c r="P179" t="str" cm="1">
        <f t="array" ref="P179">_xlfn.IFS(Hospital_Patient[[#This Row],[Age]]&lt;=18,"Young",Hospital_Patient[[#This Row],[Age]]&lt;=36,"Adult",Hospital_Patient[[#This Row],[Age]]&lt;=60,"Middle Age",Hospital_Patient[[#This Row],[Age]]&gt;60,"Senior")</f>
        <v>Middle Age</v>
      </c>
      <c r="Q179" t="str" cm="1">
        <f t="array" ref="Q1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79">
        <f>YEAR(Hospital_Patient[[#This Row],[Discharge_Date]])</f>
        <v>2025</v>
      </c>
    </row>
    <row r="180" spans="1:18" hidden="1" x14ac:dyDescent="0.25">
      <c r="A180">
        <v>187</v>
      </c>
      <c r="B180">
        <v>25</v>
      </c>
      <c r="C180" t="s">
        <v>22</v>
      </c>
      <c r="D180" t="s">
        <v>47</v>
      </c>
      <c r="E180" t="s">
        <v>48</v>
      </c>
      <c r="F180" s="5">
        <v>45763</v>
      </c>
      <c r="G180" s="5">
        <v>45776</v>
      </c>
      <c r="H180" t="s">
        <v>73</v>
      </c>
      <c r="I180">
        <v>2025</v>
      </c>
      <c r="J180">
        <v>13</v>
      </c>
      <c r="K180" t="s">
        <v>19</v>
      </c>
      <c r="L180" t="s">
        <v>20</v>
      </c>
      <c r="M180">
        <v>5</v>
      </c>
      <c r="N180" t="s">
        <v>21</v>
      </c>
      <c r="O180">
        <v>100</v>
      </c>
      <c r="P180" t="str" cm="1">
        <f t="array" ref="P180">_xlfn.IFS(Hospital_Patient[[#This Row],[Age]]&lt;=18,"Young",Hospital_Patient[[#This Row],[Age]]&lt;=36,"Adult",Hospital_Patient[[#This Row],[Age]]&lt;=60,"Middle Age",Hospital_Patient[[#This Row],[Age]]&gt;60,"Senior")</f>
        <v>Adult</v>
      </c>
      <c r="Q180" t="str" cm="1">
        <f t="array" ref="Q1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80">
        <f>YEAR(Hospital_Patient[[#This Row],[Discharge_Date]])</f>
        <v>2025</v>
      </c>
    </row>
    <row r="181" spans="1:18" x14ac:dyDescent="0.25">
      <c r="A181">
        <v>369</v>
      </c>
      <c r="B181">
        <v>65</v>
      </c>
      <c r="C181" t="s">
        <v>15</v>
      </c>
      <c r="D181" t="s">
        <v>59</v>
      </c>
      <c r="E181" t="s">
        <v>60</v>
      </c>
      <c r="F181" s="5">
        <v>45747</v>
      </c>
      <c r="G181" s="5">
        <v>45776</v>
      </c>
      <c r="H181" t="s">
        <v>75</v>
      </c>
      <c r="I181">
        <v>2025</v>
      </c>
      <c r="J181">
        <v>29</v>
      </c>
      <c r="K181" t="s">
        <v>19</v>
      </c>
      <c r="L181" t="s">
        <v>26</v>
      </c>
      <c r="M181">
        <v>4</v>
      </c>
      <c r="N181" t="s">
        <v>21</v>
      </c>
      <c r="O181">
        <v>4000</v>
      </c>
      <c r="P181" t="str" cm="1">
        <f t="array" ref="P181">_xlfn.IFS(Hospital_Patient[[#This Row],[Age]]&lt;=18,"Young",Hospital_Patient[[#This Row],[Age]]&lt;=36,"Adult",Hospital_Patient[[#This Row],[Age]]&lt;=60,"Middle Age",Hospital_Patient[[#This Row],[Age]]&gt;60,"Senior")</f>
        <v>Senior</v>
      </c>
      <c r="Q181" t="str" cm="1">
        <f t="array" ref="Q1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81">
        <f>YEAR(Hospital_Patient[[#This Row],[Discharge_Date]])</f>
        <v>2025</v>
      </c>
    </row>
    <row r="182" spans="1:18" hidden="1" x14ac:dyDescent="0.25">
      <c r="A182">
        <v>537</v>
      </c>
      <c r="B182">
        <v>68</v>
      </c>
      <c r="C182" t="s">
        <v>22</v>
      </c>
      <c r="D182" t="s">
        <v>36</v>
      </c>
      <c r="E182" t="s">
        <v>37</v>
      </c>
      <c r="F182" s="5">
        <v>45735</v>
      </c>
      <c r="G182" s="5">
        <v>45775</v>
      </c>
      <c r="H182" t="s">
        <v>69</v>
      </c>
      <c r="I182">
        <v>2025</v>
      </c>
      <c r="J182">
        <v>40</v>
      </c>
      <c r="K182" t="s">
        <v>19</v>
      </c>
      <c r="L182" t="s">
        <v>26</v>
      </c>
      <c r="M182">
        <v>4</v>
      </c>
      <c r="N182" t="s">
        <v>19</v>
      </c>
      <c r="O182">
        <v>1000</v>
      </c>
      <c r="P182" t="str" cm="1">
        <f t="array" ref="P182">_xlfn.IFS(Hospital_Patient[[#This Row],[Age]]&lt;=18,"Young",Hospital_Patient[[#This Row],[Age]]&lt;=36,"Adult",Hospital_Patient[[#This Row],[Age]]&lt;=60,"Middle Age",Hospital_Patient[[#This Row],[Age]]&gt;60,"Senior")</f>
        <v>Senior</v>
      </c>
      <c r="Q182" t="str" cm="1">
        <f t="array" ref="Q1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2">
        <f>YEAR(Hospital_Patient[[#This Row],[Discharge_Date]])</f>
        <v>2025</v>
      </c>
    </row>
    <row r="183" spans="1:18" hidden="1" x14ac:dyDescent="0.25">
      <c r="A183">
        <v>632</v>
      </c>
      <c r="B183">
        <v>58</v>
      </c>
      <c r="C183" t="s">
        <v>22</v>
      </c>
      <c r="D183" t="s">
        <v>52</v>
      </c>
      <c r="E183" t="s">
        <v>53</v>
      </c>
      <c r="F183" s="5">
        <v>45719</v>
      </c>
      <c r="G183" s="5">
        <v>45770</v>
      </c>
      <c r="H183" t="s">
        <v>67</v>
      </c>
      <c r="I183">
        <v>2025</v>
      </c>
      <c r="J183">
        <v>51</v>
      </c>
      <c r="K183" t="s">
        <v>19</v>
      </c>
      <c r="L183" t="s">
        <v>20</v>
      </c>
      <c r="M183">
        <v>3</v>
      </c>
      <c r="N183" t="s">
        <v>21</v>
      </c>
      <c r="O183">
        <v>20000</v>
      </c>
      <c r="P183" t="str" cm="1">
        <f t="array" ref="P183">_xlfn.IFS(Hospital_Patient[[#This Row],[Age]]&lt;=18,"Young",Hospital_Patient[[#This Row],[Age]]&lt;=36,"Adult",Hospital_Patient[[#This Row],[Age]]&lt;=60,"Middle Age",Hospital_Patient[[#This Row],[Age]]&gt;60,"Senior")</f>
        <v>Middle Age</v>
      </c>
      <c r="Q183" t="str" cm="1">
        <f t="array" ref="Q1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3">
        <f>YEAR(Hospital_Patient[[#This Row],[Discharge_Date]])</f>
        <v>2025</v>
      </c>
    </row>
    <row r="184" spans="1:18" hidden="1" x14ac:dyDescent="0.25">
      <c r="A184">
        <v>154</v>
      </c>
      <c r="B184">
        <v>68</v>
      </c>
      <c r="C184" t="s">
        <v>22</v>
      </c>
      <c r="D184" t="s">
        <v>36</v>
      </c>
      <c r="E184" t="s">
        <v>37</v>
      </c>
      <c r="F184" s="5">
        <v>45756</v>
      </c>
      <c r="G184" s="5">
        <v>45768</v>
      </c>
      <c r="H184" t="s">
        <v>25</v>
      </c>
      <c r="I184">
        <v>2025</v>
      </c>
      <c r="J184">
        <v>12</v>
      </c>
      <c r="K184" t="s">
        <v>19</v>
      </c>
      <c r="L184" t="s">
        <v>26</v>
      </c>
      <c r="M184">
        <v>4</v>
      </c>
      <c r="N184" t="s">
        <v>21</v>
      </c>
      <c r="O184">
        <v>1000</v>
      </c>
      <c r="P184" t="str" cm="1">
        <f t="array" ref="P184">_xlfn.IFS(Hospital_Patient[[#This Row],[Age]]&lt;=18,"Young",Hospital_Patient[[#This Row],[Age]]&lt;=36,"Adult",Hospital_Patient[[#This Row],[Age]]&lt;=60,"Middle Age",Hospital_Patient[[#This Row],[Age]]&gt;60,"Senior")</f>
        <v>Senior</v>
      </c>
      <c r="Q184" t="str" cm="1">
        <f t="array" ref="Q1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184">
        <f>YEAR(Hospital_Patient[[#This Row],[Discharge_Date]])</f>
        <v>2025</v>
      </c>
    </row>
    <row r="185" spans="1:18" hidden="1" x14ac:dyDescent="0.25">
      <c r="A185">
        <v>659</v>
      </c>
      <c r="B185">
        <v>25</v>
      </c>
      <c r="C185" t="s">
        <v>22</v>
      </c>
      <c r="D185" t="s">
        <v>47</v>
      </c>
      <c r="E185" t="s">
        <v>48</v>
      </c>
      <c r="F185" s="5">
        <v>45723</v>
      </c>
      <c r="G185" s="5">
        <v>45768</v>
      </c>
      <c r="H185" t="s">
        <v>18</v>
      </c>
      <c r="I185">
        <v>2025</v>
      </c>
      <c r="J185">
        <v>45</v>
      </c>
      <c r="K185" t="s">
        <v>19</v>
      </c>
      <c r="L185" t="s">
        <v>20</v>
      </c>
      <c r="M185">
        <v>5</v>
      </c>
      <c r="N185" t="s">
        <v>21</v>
      </c>
      <c r="O185">
        <v>100</v>
      </c>
      <c r="P185" t="str" cm="1">
        <f t="array" ref="P185">_xlfn.IFS(Hospital_Patient[[#This Row],[Age]]&lt;=18,"Young",Hospital_Patient[[#This Row],[Age]]&lt;=36,"Adult",Hospital_Patient[[#This Row],[Age]]&lt;=60,"Middle Age",Hospital_Patient[[#This Row],[Age]]&gt;60,"Senior")</f>
        <v>Adult</v>
      </c>
      <c r="Q185" t="str" cm="1">
        <f t="array" ref="Q1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5">
        <f>YEAR(Hospital_Patient[[#This Row],[Discharge_Date]])</f>
        <v>2025</v>
      </c>
    </row>
    <row r="186" spans="1:18" x14ac:dyDescent="0.25">
      <c r="A186">
        <v>660</v>
      </c>
      <c r="B186">
        <v>52</v>
      </c>
      <c r="C186" t="s">
        <v>15</v>
      </c>
      <c r="D186" t="s">
        <v>49</v>
      </c>
      <c r="E186" t="s">
        <v>50</v>
      </c>
      <c r="F186" s="5">
        <v>45720</v>
      </c>
      <c r="G186" s="5">
        <v>45766</v>
      </c>
      <c r="H186" t="s">
        <v>51</v>
      </c>
      <c r="I186">
        <v>2025</v>
      </c>
      <c r="J186">
        <v>46</v>
      </c>
      <c r="K186" t="s">
        <v>19</v>
      </c>
      <c r="L186" t="s">
        <v>26</v>
      </c>
      <c r="M186">
        <v>4</v>
      </c>
      <c r="N186" t="s">
        <v>19</v>
      </c>
      <c r="O186">
        <v>800</v>
      </c>
      <c r="P186" t="str" cm="1">
        <f t="array" ref="P186">_xlfn.IFS(Hospital_Patient[[#This Row],[Age]]&lt;=18,"Young",Hospital_Patient[[#This Row],[Age]]&lt;=36,"Adult",Hospital_Patient[[#This Row],[Age]]&lt;=60,"Middle Age",Hospital_Patient[[#This Row],[Age]]&gt;60,"Senior")</f>
        <v>Middle Age</v>
      </c>
      <c r="Q186" t="str" cm="1">
        <f t="array" ref="Q1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6">
        <f>YEAR(Hospital_Patient[[#This Row],[Discharge_Date]])</f>
        <v>2025</v>
      </c>
    </row>
    <row r="187" spans="1:18" x14ac:dyDescent="0.25">
      <c r="A187">
        <v>52</v>
      </c>
      <c r="B187">
        <v>60</v>
      </c>
      <c r="C187" t="s">
        <v>15</v>
      </c>
      <c r="D187" t="s">
        <v>39</v>
      </c>
      <c r="E187" t="s">
        <v>40</v>
      </c>
      <c r="F187" s="5">
        <v>45758</v>
      </c>
      <c r="G187" s="5">
        <v>45765</v>
      </c>
      <c r="H187" t="s">
        <v>72</v>
      </c>
      <c r="I187">
        <v>2025</v>
      </c>
      <c r="J187">
        <v>7</v>
      </c>
      <c r="K187" t="s">
        <v>21</v>
      </c>
      <c r="L187" t="s">
        <v>20</v>
      </c>
      <c r="M187">
        <v>3</v>
      </c>
      <c r="N187" t="s">
        <v>21</v>
      </c>
      <c r="O187">
        <v>8000</v>
      </c>
      <c r="P187" t="str" cm="1">
        <f t="array" ref="P187">_xlfn.IFS(Hospital_Patient[[#This Row],[Age]]&lt;=18,"Young",Hospital_Patient[[#This Row],[Age]]&lt;=36,"Adult",Hospital_Patient[[#This Row],[Age]]&lt;=60,"Middle Age",Hospital_Patient[[#This Row],[Age]]&gt;60,"Senior")</f>
        <v>Middle Age</v>
      </c>
      <c r="Q187" t="str" cm="1">
        <f t="array" ref="Q1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187">
        <f>YEAR(Hospital_Patient[[#This Row],[Discharge_Date]])</f>
        <v>2025</v>
      </c>
    </row>
    <row r="188" spans="1:18" x14ac:dyDescent="0.25">
      <c r="A188">
        <v>606</v>
      </c>
      <c r="B188">
        <v>55</v>
      </c>
      <c r="C188" t="s">
        <v>15</v>
      </c>
      <c r="D188" t="s">
        <v>16</v>
      </c>
      <c r="E188" t="s">
        <v>17</v>
      </c>
      <c r="F188" s="5">
        <v>45716</v>
      </c>
      <c r="G188" s="5">
        <v>45762</v>
      </c>
      <c r="H188" t="s">
        <v>69</v>
      </c>
      <c r="I188">
        <v>2025</v>
      </c>
      <c r="J188">
        <v>46</v>
      </c>
      <c r="K188" t="s">
        <v>21</v>
      </c>
      <c r="L188" t="s">
        <v>20</v>
      </c>
      <c r="M188">
        <v>3</v>
      </c>
      <c r="N188" t="s">
        <v>19</v>
      </c>
      <c r="O188">
        <v>15000</v>
      </c>
      <c r="P188" t="str" cm="1">
        <f t="array" ref="P188">_xlfn.IFS(Hospital_Patient[[#This Row],[Age]]&lt;=18,"Young",Hospital_Patient[[#This Row],[Age]]&lt;=36,"Adult",Hospital_Patient[[#This Row],[Age]]&lt;=60,"Middle Age",Hospital_Patient[[#This Row],[Age]]&gt;60,"Senior")</f>
        <v>Middle Age</v>
      </c>
      <c r="Q188" t="str" cm="1">
        <f t="array" ref="Q1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8">
        <f>YEAR(Hospital_Patient[[#This Row],[Discharge_Date]])</f>
        <v>2025</v>
      </c>
    </row>
    <row r="189" spans="1:18" x14ac:dyDescent="0.25">
      <c r="A189">
        <v>703</v>
      </c>
      <c r="B189">
        <v>75</v>
      </c>
      <c r="C189" t="s">
        <v>15</v>
      </c>
      <c r="D189" t="s">
        <v>45</v>
      </c>
      <c r="E189" t="s">
        <v>46</v>
      </c>
      <c r="F189" s="5">
        <v>45706</v>
      </c>
      <c r="G189" s="5">
        <v>45761</v>
      </c>
      <c r="H189" t="s">
        <v>65</v>
      </c>
      <c r="I189">
        <v>2025</v>
      </c>
      <c r="J189">
        <v>55</v>
      </c>
      <c r="K189" t="s">
        <v>21</v>
      </c>
      <c r="L189" t="s">
        <v>26</v>
      </c>
      <c r="M189">
        <v>2</v>
      </c>
      <c r="N189" t="s">
        <v>19</v>
      </c>
      <c r="O189">
        <v>18000</v>
      </c>
      <c r="P189" t="str" cm="1">
        <f t="array" ref="P189">_xlfn.IFS(Hospital_Patient[[#This Row],[Age]]&lt;=18,"Young",Hospital_Patient[[#This Row],[Age]]&lt;=36,"Adult",Hospital_Patient[[#This Row],[Age]]&lt;=60,"Middle Age",Hospital_Patient[[#This Row],[Age]]&gt;60,"Senior")</f>
        <v>Senior</v>
      </c>
      <c r="Q189" t="str" cm="1">
        <f t="array" ref="Q1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89">
        <f>YEAR(Hospital_Patient[[#This Row],[Discharge_Date]])</f>
        <v>2025</v>
      </c>
    </row>
    <row r="190" spans="1:18" hidden="1" x14ac:dyDescent="0.25">
      <c r="A190">
        <v>718</v>
      </c>
      <c r="B190">
        <v>25</v>
      </c>
      <c r="C190" t="s">
        <v>22</v>
      </c>
      <c r="D190" t="s">
        <v>47</v>
      </c>
      <c r="E190" t="s">
        <v>48</v>
      </c>
      <c r="F190" s="5">
        <v>45710</v>
      </c>
      <c r="G190" s="5">
        <v>45759</v>
      </c>
      <c r="H190" t="s">
        <v>18</v>
      </c>
      <c r="I190">
        <v>2025</v>
      </c>
      <c r="J190">
        <v>49</v>
      </c>
      <c r="K190" t="s">
        <v>19</v>
      </c>
      <c r="L190" t="s">
        <v>20</v>
      </c>
      <c r="M190">
        <v>5</v>
      </c>
      <c r="N190" t="s">
        <v>19</v>
      </c>
      <c r="O190">
        <v>100</v>
      </c>
      <c r="P190" t="str" cm="1">
        <f t="array" ref="P190">_xlfn.IFS(Hospital_Patient[[#This Row],[Age]]&lt;=18,"Young",Hospital_Patient[[#This Row],[Age]]&lt;=36,"Adult",Hospital_Patient[[#This Row],[Age]]&lt;=60,"Middle Age",Hospital_Patient[[#This Row],[Age]]&gt;60,"Senior")</f>
        <v>Adult</v>
      </c>
      <c r="Q190" t="str" cm="1">
        <f t="array" ref="Q1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0">
        <f>YEAR(Hospital_Patient[[#This Row],[Discharge_Date]])</f>
        <v>2025</v>
      </c>
    </row>
    <row r="191" spans="1:18" hidden="1" x14ac:dyDescent="0.25">
      <c r="A191">
        <v>752</v>
      </c>
      <c r="B191">
        <v>55</v>
      </c>
      <c r="C191" t="s">
        <v>22</v>
      </c>
      <c r="D191" t="s">
        <v>57</v>
      </c>
      <c r="E191" t="s">
        <v>58</v>
      </c>
      <c r="F191" s="5">
        <v>45705</v>
      </c>
      <c r="G191" s="5">
        <v>45759</v>
      </c>
      <c r="H191" t="s">
        <v>76</v>
      </c>
      <c r="I191">
        <v>2025</v>
      </c>
      <c r="J191">
        <v>54</v>
      </c>
      <c r="K191" t="s">
        <v>19</v>
      </c>
      <c r="L191" t="s">
        <v>20</v>
      </c>
      <c r="M191">
        <v>3</v>
      </c>
      <c r="N191" t="s">
        <v>19</v>
      </c>
      <c r="O191">
        <v>6000</v>
      </c>
      <c r="P191" t="str" cm="1">
        <f t="array" ref="P191">_xlfn.IFS(Hospital_Patient[[#This Row],[Age]]&lt;=18,"Young",Hospital_Patient[[#This Row],[Age]]&lt;=36,"Adult",Hospital_Patient[[#This Row],[Age]]&lt;=60,"Middle Age",Hospital_Patient[[#This Row],[Age]]&gt;60,"Senior")</f>
        <v>Middle Age</v>
      </c>
      <c r="Q191" t="str" cm="1">
        <f t="array" ref="Q1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1">
        <f>YEAR(Hospital_Patient[[#This Row],[Discharge_Date]])</f>
        <v>2025</v>
      </c>
    </row>
    <row r="192" spans="1:18" x14ac:dyDescent="0.25">
      <c r="A192">
        <v>884</v>
      </c>
      <c r="B192">
        <v>35</v>
      </c>
      <c r="C192" t="s">
        <v>15</v>
      </c>
      <c r="D192" t="s">
        <v>54</v>
      </c>
      <c r="E192" t="s">
        <v>55</v>
      </c>
      <c r="F192" s="5">
        <v>45696</v>
      </c>
      <c r="G192" s="5">
        <v>45758</v>
      </c>
      <c r="H192" t="s">
        <v>78</v>
      </c>
      <c r="I192">
        <v>2025</v>
      </c>
      <c r="J192">
        <v>62</v>
      </c>
      <c r="K192" t="s">
        <v>19</v>
      </c>
      <c r="L192" t="s">
        <v>20</v>
      </c>
      <c r="M192">
        <v>4</v>
      </c>
      <c r="N192" t="s">
        <v>19</v>
      </c>
      <c r="O192">
        <v>12000</v>
      </c>
      <c r="P192" t="str" cm="1">
        <f t="array" ref="P192">_xlfn.IFS(Hospital_Patient[[#This Row],[Age]]&lt;=18,"Young",Hospital_Patient[[#This Row],[Age]]&lt;=36,"Adult",Hospital_Patient[[#This Row],[Age]]&lt;=60,"Middle Age",Hospital_Patient[[#This Row],[Age]]&gt;60,"Senior")</f>
        <v>Adult</v>
      </c>
      <c r="Q192" t="str" cm="1">
        <f t="array" ref="Q1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192">
        <f>YEAR(Hospital_Patient[[#This Row],[Discharge_Date]])</f>
        <v>2025</v>
      </c>
    </row>
    <row r="193" spans="1:18" x14ac:dyDescent="0.25">
      <c r="A193">
        <v>264</v>
      </c>
      <c r="B193">
        <v>35</v>
      </c>
      <c r="C193" t="s">
        <v>15</v>
      </c>
      <c r="D193" t="s">
        <v>54</v>
      </c>
      <c r="E193" t="s">
        <v>55</v>
      </c>
      <c r="F193" s="5">
        <v>45737</v>
      </c>
      <c r="G193" s="5">
        <v>45757</v>
      </c>
      <c r="H193" t="s">
        <v>68</v>
      </c>
      <c r="I193">
        <v>2025</v>
      </c>
      <c r="J193">
        <v>20</v>
      </c>
      <c r="K193" t="s">
        <v>19</v>
      </c>
      <c r="L193" t="s">
        <v>20</v>
      </c>
      <c r="M193">
        <v>4</v>
      </c>
      <c r="N193" t="s">
        <v>21</v>
      </c>
      <c r="O193">
        <v>12000</v>
      </c>
      <c r="P193" t="str" cm="1">
        <f t="array" ref="P193">_xlfn.IFS(Hospital_Patient[[#This Row],[Age]]&lt;=18,"Young",Hospital_Patient[[#This Row],[Age]]&lt;=36,"Adult",Hospital_Patient[[#This Row],[Age]]&lt;=60,"Middle Age",Hospital_Patient[[#This Row],[Age]]&gt;60,"Senior")</f>
        <v>Adult</v>
      </c>
      <c r="Q193" t="str" cm="1">
        <f t="array" ref="Q1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93">
        <f>YEAR(Hospital_Patient[[#This Row],[Discharge_Date]])</f>
        <v>2025</v>
      </c>
    </row>
    <row r="194" spans="1:18" hidden="1" x14ac:dyDescent="0.25">
      <c r="A194">
        <v>685</v>
      </c>
      <c r="B194">
        <v>68</v>
      </c>
      <c r="C194" t="s">
        <v>22</v>
      </c>
      <c r="D194" t="s">
        <v>36</v>
      </c>
      <c r="E194" t="s">
        <v>37</v>
      </c>
      <c r="F194" s="5">
        <v>45707</v>
      </c>
      <c r="G194" s="5">
        <v>45757</v>
      </c>
      <c r="H194" t="s">
        <v>69</v>
      </c>
      <c r="I194">
        <v>2025</v>
      </c>
      <c r="J194">
        <v>50</v>
      </c>
      <c r="K194" t="s">
        <v>19</v>
      </c>
      <c r="L194" t="s">
        <v>26</v>
      </c>
      <c r="M194">
        <v>4</v>
      </c>
      <c r="N194" t="s">
        <v>21</v>
      </c>
      <c r="O194">
        <v>1000</v>
      </c>
      <c r="P194" t="str" cm="1">
        <f t="array" ref="P194">_xlfn.IFS(Hospital_Patient[[#This Row],[Age]]&lt;=18,"Young",Hospital_Patient[[#This Row],[Age]]&lt;=36,"Adult",Hospital_Patient[[#This Row],[Age]]&lt;=60,"Middle Age",Hospital_Patient[[#This Row],[Age]]&gt;60,"Senior")</f>
        <v>Senior</v>
      </c>
      <c r="Q194" t="str" cm="1">
        <f t="array" ref="Q1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4">
        <f>YEAR(Hospital_Patient[[#This Row],[Discharge_Date]])</f>
        <v>2025</v>
      </c>
    </row>
    <row r="195" spans="1:18" hidden="1" x14ac:dyDescent="0.25">
      <c r="A195">
        <v>440</v>
      </c>
      <c r="B195">
        <v>67</v>
      </c>
      <c r="C195" t="s">
        <v>22</v>
      </c>
      <c r="D195" t="s">
        <v>52</v>
      </c>
      <c r="E195" t="s">
        <v>53</v>
      </c>
      <c r="F195" s="5">
        <v>45717</v>
      </c>
      <c r="G195" s="5">
        <v>45755</v>
      </c>
      <c r="H195" t="s">
        <v>51</v>
      </c>
      <c r="I195">
        <v>2025</v>
      </c>
      <c r="J195">
        <v>38</v>
      </c>
      <c r="K195" t="s">
        <v>19</v>
      </c>
      <c r="L195" t="s">
        <v>20</v>
      </c>
      <c r="M195">
        <v>3</v>
      </c>
      <c r="N195" t="s">
        <v>19</v>
      </c>
      <c r="O195">
        <v>20000</v>
      </c>
      <c r="P195" t="str" cm="1">
        <f t="array" ref="P195">_xlfn.IFS(Hospital_Patient[[#This Row],[Age]]&lt;=18,"Young",Hospital_Patient[[#This Row],[Age]]&lt;=36,"Adult",Hospital_Patient[[#This Row],[Age]]&lt;=60,"Middle Age",Hospital_Patient[[#This Row],[Age]]&gt;60,"Senior")</f>
        <v>Senior</v>
      </c>
      <c r="Q195" t="str" cm="1">
        <f t="array" ref="Q1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5">
        <f>YEAR(Hospital_Patient[[#This Row],[Discharge_Date]])</f>
        <v>2025</v>
      </c>
    </row>
    <row r="196" spans="1:18" x14ac:dyDescent="0.25">
      <c r="A196">
        <v>562</v>
      </c>
      <c r="B196">
        <v>48</v>
      </c>
      <c r="C196" t="s">
        <v>15</v>
      </c>
      <c r="D196" t="s">
        <v>16</v>
      </c>
      <c r="E196" t="s">
        <v>17</v>
      </c>
      <c r="F196" s="5">
        <v>45712</v>
      </c>
      <c r="G196" s="5">
        <v>45755</v>
      </c>
      <c r="H196" t="s">
        <v>18</v>
      </c>
      <c r="I196">
        <v>2025</v>
      </c>
      <c r="J196">
        <v>43</v>
      </c>
      <c r="K196" t="s">
        <v>21</v>
      </c>
      <c r="L196" t="s">
        <v>20</v>
      </c>
      <c r="M196">
        <v>4</v>
      </c>
      <c r="N196" t="s">
        <v>19</v>
      </c>
      <c r="O196">
        <v>15000</v>
      </c>
      <c r="P196" t="str" cm="1">
        <f t="array" ref="P196">_xlfn.IFS(Hospital_Patient[[#This Row],[Age]]&lt;=18,"Young",Hospital_Patient[[#This Row],[Age]]&lt;=36,"Adult",Hospital_Patient[[#This Row],[Age]]&lt;=60,"Middle Age",Hospital_Patient[[#This Row],[Age]]&gt;60,"Senior")</f>
        <v>Middle Age</v>
      </c>
      <c r="Q196" t="str" cm="1">
        <f t="array" ref="Q1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6">
        <f>YEAR(Hospital_Patient[[#This Row],[Discharge_Date]])</f>
        <v>2025</v>
      </c>
    </row>
    <row r="197" spans="1:18" hidden="1" x14ac:dyDescent="0.25">
      <c r="A197">
        <v>320</v>
      </c>
      <c r="B197">
        <v>28</v>
      </c>
      <c r="C197" t="s">
        <v>22</v>
      </c>
      <c r="D197" t="s">
        <v>47</v>
      </c>
      <c r="E197" t="s">
        <v>48</v>
      </c>
      <c r="F197" s="5">
        <v>45732</v>
      </c>
      <c r="G197" s="5">
        <v>45754</v>
      </c>
      <c r="H197" t="s">
        <v>18</v>
      </c>
      <c r="I197">
        <v>2025</v>
      </c>
      <c r="J197">
        <v>22</v>
      </c>
      <c r="K197" t="s">
        <v>19</v>
      </c>
      <c r="L197" t="s">
        <v>20</v>
      </c>
      <c r="M197">
        <v>5</v>
      </c>
      <c r="N197" t="s">
        <v>21</v>
      </c>
      <c r="O197">
        <v>100</v>
      </c>
      <c r="P197" t="str" cm="1">
        <f t="array" ref="P197">_xlfn.IFS(Hospital_Patient[[#This Row],[Age]]&lt;=18,"Young",Hospital_Patient[[#This Row],[Age]]&lt;=36,"Adult",Hospital_Patient[[#This Row],[Age]]&lt;=60,"Middle Age",Hospital_Patient[[#This Row],[Age]]&gt;60,"Senior")</f>
        <v>Adult</v>
      </c>
      <c r="Q197" t="str" cm="1">
        <f t="array" ref="Q1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97">
        <f>YEAR(Hospital_Patient[[#This Row],[Discharge_Date]])</f>
        <v>2025</v>
      </c>
    </row>
    <row r="198" spans="1:18" hidden="1" x14ac:dyDescent="0.25">
      <c r="A198">
        <v>156</v>
      </c>
      <c r="B198">
        <v>40</v>
      </c>
      <c r="C198" t="s">
        <v>22</v>
      </c>
      <c r="D198" t="s">
        <v>42</v>
      </c>
      <c r="E198" t="s">
        <v>43</v>
      </c>
      <c r="F198" s="5">
        <v>45719</v>
      </c>
      <c r="G198" s="5">
        <v>45735</v>
      </c>
      <c r="H198" t="s">
        <v>70</v>
      </c>
      <c r="I198">
        <v>2025</v>
      </c>
      <c r="J198">
        <v>16</v>
      </c>
      <c r="K198" t="s">
        <v>19</v>
      </c>
      <c r="L198" t="s">
        <v>20</v>
      </c>
      <c r="M198">
        <v>4</v>
      </c>
      <c r="N198" t="s">
        <v>19</v>
      </c>
      <c r="O198">
        <v>3000</v>
      </c>
      <c r="P198" t="str" cm="1">
        <f t="array" ref="P198">_xlfn.IFS(Hospital_Patient[[#This Row],[Age]]&lt;=18,"Young",Hospital_Patient[[#This Row],[Age]]&lt;=36,"Adult",Hospital_Patient[[#This Row],[Age]]&lt;=60,"Middle Age",Hospital_Patient[[#This Row],[Age]]&gt;60,"Senior")</f>
        <v>Middle Age</v>
      </c>
      <c r="Q198" t="str" cm="1">
        <f t="array" ref="Q1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198">
        <f>YEAR(Hospital_Patient[[#This Row],[Discharge_Date]])</f>
        <v>2025</v>
      </c>
    </row>
    <row r="199" spans="1:18" x14ac:dyDescent="0.25">
      <c r="A199">
        <v>437</v>
      </c>
      <c r="B199">
        <v>75</v>
      </c>
      <c r="C199" t="s">
        <v>15</v>
      </c>
      <c r="D199" t="s">
        <v>45</v>
      </c>
      <c r="E199" t="s">
        <v>46</v>
      </c>
      <c r="F199" s="5">
        <v>45698</v>
      </c>
      <c r="G199" s="5">
        <v>45735</v>
      </c>
      <c r="H199" t="s">
        <v>18</v>
      </c>
      <c r="I199">
        <v>2025</v>
      </c>
      <c r="J199">
        <v>37</v>
      </c>
      <c r="K199" t="s">
        <v>21</v>
      </c>
      <c r="L199" t="s">
        <v>26</v>
      </c>
      <c r="M199">
        <v>2</v>
      </c>
      <c r="N199" t="s">
        <v>21</v>
      </c>
      <c r="O199">
        <v>18000</v>
      </c>
      <c r="P199" t="str" cm="1">
        <f t="array" ref="P199">_xlfn.IFS(Hospital_Patient[[#This Row],[Age]]&lt;=18,"Young",Hospital_Patient[[#This Row],[Age]]&lt;=36,"Adult",Hospital_Patient[[#This Row],[Age]]&lt;=60,"Middle Age",Hospital_Patient[[#This Row],[Age]]&gt;60,"Senior")</f>
        <v>Senior</v>
      </c>
      <c r="Q199" t="str" cm="1">
        <f t="array" ref="Q1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199">
        <f>YEAR(Hospital_Patient[[#This Row],[Discharge_Date]])</f>
        <v>2025</v>
      </c>
    </row>
    <row r="200" spans="1:18" x14ac:dyDescent="0.25">
      <c r="A200">
        <v>50</v>
      </c>
      <c r="B200">
        <v>53</v>
      </c>
      <c r="C200" t="s">
        <v>15</v>
      </c>
      <c r="D200" t="s">
        <v>33</v>
      </c>
      <c r="E200" t="s">
        <v>34</v>
      </c>
      <c r="F200" s="5">
        <v>45721</v>
      </c>
      <c r="G200" s="5">
        <v>45734</v>
      </c>
      <c r="H200" t="s">
        <v>35</v>
      </c>
      <c r="I200">
        <v>2025</v>
      </c>
      <c r="J200">
        <v>13</v>
      </c>
      <c r="K200" t="s">
        <v>21</v>
      </c>
      <c r="L200" t="s">
        <v>20</v>
      </c>
      <c r="M200">
        <v>4</v>
      </c>
      <c r="N200" t="s">
        <v>19</v>
      </c>
      <c r="O200">
        <v>25000</v>
      </c>
      <c r="P200" t="str" cm="1">
        <f t="array" ref="P200">_xlfn.IFS(Hospital_Patient[[#This Row],[Age]]&lt;=18,"Young",Hospital_Patient[[#This Row],[Age]]&lt;=36,"Adult",Hospital_Patient[[#This Row],[Age]]&lt;=60,"Middle Age",Hospital_Patient[[#This Row],[Age]]&gt;60,"Senior")</f>
        <v>Middle Age</v>
      </c>
      <c r="Q200" t="str" cm="1">
        <f t="array" ref="Q2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00">
        <f>YEAR(Hospital_Patient[[#This Row],[Discharge_Date]])</f>
        <v>2025</v>
      </c>
    </row>
    <row r="201" spans="1:18" x14ac:dyDescent="0.25">
      <c r="A201">
        <v>736</v>
      </c>
      <c r="B201">
        <v>35</v>
      </c>
      <c r="C201" t="s">
        <v>15</v>
      </c>
      <c r="D201" t="s">
        <v>54</v>
      </c>
      <c r="E201" t="s">
        <v>55</v>
      </c>
      <c r="F201" s="5">
        <v>45681</v>
      </c>
      <c r="G201" s="5">
        <v>45733</v>
      </c>
      <c r="H201" t="s">
        <v>56</v>
      </c>
      <c r="I201">
        <v>2025</v>
      </c>
      <c r="J201">
        <v>52</v>
      </c>
      <c r="K201" t="s">
        <v>19</v>
      </c>
      <c r="L201" t="s">
        <v>20</v>
      </c>
      <c r="M201">
        <v>4</v>
      </c>
      <c r="N201" t="s">
        <v>19</v>
      </c>
      <c r="O201">
        <v>12000</v>
      </c>
      <c r="P201" t="str" cm="1">
        <f t="array" ref="P201">_xlfn.IFS(Hospital_Patient[[#This Row],[Age]]&lt;=18,"Young",Hospital_Patient[[#This Row],[Age]]&lt;=36,"Adult",Hospital_Patient[[#This Row],[Age]]&lt;=60,"Middle Age",Hospital_Patient[[#This Row],[Age]]&gt;60,"Senior")</f>
        <v>Adult</v>
      </c>
      <c r="Q201" t="str" cm="1">
        <f t="array" ref="Q2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1">
        <f>YEAR(Hospital_Patient[[#This Row],[Discharge_Date]])</f>
        <v>2025</v>
      </c>
    </row>
    <row r="202" spans="1:18" x14ac:dyDescent="0.25">
      <c r="A202">
        <v>629</v>
      </c>
      <c r="B202">
        <v>78</v>
      </c>
      <c r="C202" t="s">
        <v>15</v>
      </c>
      <c r="D202" t="s">
        <v>45</v>
      </c>
      <c r="E202" t="s">
        <v>46</v>
      </c>
      <c r="F202" s="5">
        <v>45681</v>
      </c>
      <c r="G202" s="5">
        <v>45731</v>
      </c>
      <c r="H202" t="s">
        <v>18</v>
      </c>
      <c r="I202">
        <v>2025</v>
      </c>
      <c r="J202">
        <v>50</v>
      </c>
      <c r="K202" t="s">
        <v>21</v>
      </c>
      <c r="L202" t="s">
        <v>26</v>
      </c>
      <c r="M202">
        <v>2</v>
      </c>
      <c r="N202" t="s">
        <v>19</v>
      </c>
      <c r="O202">
        <v>18000</v>
      </c>
      <c r="P202" t="str" cm="1">
        <f t="array" ref="P202">_xlfn.IFS(Hospital_Patient[[#This Row],[Age]]&lt;=18,"Young",Hospital_Patient[[#This Row],[Age]]&lt;=36,"Adult",Hospital_Patient[[#This Row],[Age]]&lt;=60,"Middle Age",Hospital_Patient[[#This Row],[Age]]&gt;60,"Senior")</f>
        <v>Senior</v>
      </c>
      <c r="Q202" t="str" cm="1">
        <f t="array" ref="Q2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2">
        <f>YEAR(Hospital_Patient[[#This Row],[Discharge_Date]])</f>
        <v>2025</v>
      </c>
    </row>
    <row r="203" spans="1:18" x14ac:dyDescent="0.25">
      <c r="A203">
        <v>827</v>
      </c>
      <c r="B203">
        <v>60</v>
      </c>
      <c r="C203" t="s">
        <v>15</v>
      </c>
      <c r="D203" t="s">
        <v>59</v>
      </c>
      <c r="E203" t="s">
        <v>60</v>
      </c>
      <c r="F203" s="5">
        <v>45668</v>
      </c>
      <c r="G203" s="5">
        <v>45728</v>
      </c>
      <c r="H203" t="s">
        <v>73</v>
      </c>
      <c r="I203">
        <v>2025</v>
      </c>
      <c r="J203">
        <v>60</v>
      </c>
      <c r="K203" t="s">
        <v>19</v>
      </c>
      <c r="L203" t="s">
        <v>26</v>
      </c>
      <c r="M203">
        <v>4</v>
      </c>
      <c r="N203" t="s">
        <v>21</v>
      </c>
      <c r="O203">
        <v>4000</v>
      </c>
      <c r="P203" t="str" cm="1">
        <f t="array" ref="P203">_xlfn.IFS(Hospital_Patient[[#This Row],[Age]]&lt;=18,"Young",Hospital_Patient[[#This Row],[Age]]&lt;=36,"Adult",Hospital_Patient[[#This Row],[Age]]&lt;=60,"Middle Age",Hospital_Patient[[#This Row],[Age]]&gt;60,"Senior")</f>
        <v>Middle Age</v>
      </c>
      <c r="Q203" t="str" cm="1">
        <f t="array" ref="Q2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3">
        <f>YEAR(Hospital_Patient[[#This Row],[Discharge_Date]])</f>
        <v>2025</v>
      </c>
    </row>
    <row r="204" spans="1:18" hidden="1" x14ac:dyDescent="0.25">
      <c r="A204">
        <v>427</v>
      </c>
      <c r="B204">
        <v>55</v>
      </c>
      <c r="C204" t="s">
        <v>22</v>
      </c>
      <c r="D204" t="s">
        <v>57</v>
      </c>
      <c r="E204" t="s">
        <v>58</v>
      </c>
      <c r="F204" s="5">
        <v>45691</v>
      </c>
      <c r="G204" s="5">
        <v>45723</v>
      </c>
      <c r="H204" t="s">
        <v>44</v>
      </c>
      <c r="I204">
        <v>2025</v>
      </c>
      <c r="J204">
        <v>32</v>
      </c>
      <c r="K204" t="s">
        <v>19</v>
      </c>
      <c r="L204" t="s">
        <v>20</v>
      </c>
      <c r="M204">
        <v>3</v>
      </c>
      <c r="N204" t="s">
        <v>19</v>
      </c>
      <c r="O204">
        <v>6000</v>
      </c>
      <c r="P204" t="str" cm="1">
        <f t="array" ref="P204">_xlfn.IFS(Hospital_Patient[[#This Row],[Age]]&lt;=18,"Young",Hospital_Patient[[#This Row],[Age]]&lt;=36,"Adult",Hospital_Patient[[#This Row],[Age]]&lt;=60,"Middle Age",Hospital_Patient[[#This Row],[Age]]&gt;60,"Senior")</f>
        <v>Middle Age</v>
      </c>
      <c r="Q204" t="str" cm="1">
        <f t="array" ref="Q2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4">
        <f>YEAR(Hospital_Patient[[#This Row],[Discharge_Date]])</f>
        <v>2025</v>
      </c>
    </row>
    <row r="205" spans="1:18" hidden="1" x14ac:dyDescent="0.25">
      <c r="A205">
        <v>584</v>
      </c>
      <c r="B205">
        <v>45</v>
      </c>
      <c r="C205" t="s">
        <v>22</v>
      </c>
      <c r="D205" t="s">
        <v>42</v>
      </c>
      <c r="E205" t="s">
        <v>43</v>
      </c>
      <c r="F205" s="5">
        <v>45678</v>
      </c>
      <c r="G205" s="5">
        <v>45723</v>
      </c>
      <c r="H205" t="s">
        <v>44</v>
      </c>
      <c r="I205">
        <v>2025</v>
      </c>
      <c r="J205">
        <v>45</v>
      </c>
      <c r="K205" t="s">
        <v>19</v>
      </c>
      <c r="L205" t="s">
        <v>20</v>
      </c>
      <c r="M205">
        <v>4</v>
      </c>
      <c r="N205" t="s">
        <v>19</v>
      </c>
      <c r="O205">
        <v>3000</v>
      </c>
      <c r="P205" t="str" cm="1">
        <f t="array" ref="P205">_xlfn.IFS(Hospital_Patient[[#This Row],[Age]]&lt;=18,"Young",Hospital_Patient[[#This Row],[Age]]&lt;=36,"Adult",Hospital_Patient[[#This Row],[Age]]&lt;=60,"Middle Age",Hospital_Patient[[#This Row],[Age]]&gt;60,"Senior")</f>
        <v>Middle Age</v>
      </c>
      <c r="Q205" t="str" cm="1">
        <f t="array" ref="Q2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5">
        <f>YEAR(Hospital_Patient[[#This Row],[Discharge_Date]])</f>
        <v>2025</v>
      </c>
    </row>
    <row r="206" spans="1:18" hidden="1" x14ac:dyDescent="0.25">
      <c r="A206">
        <v>276</v>
      </c>
      <c r="B206">
        <v>25</v>
      </c>
      <c r="C206" t="s">
        <v>22</v>
      </c>
      <c r="D206" t="s">
        <v>47</v>
      </c>
      <c r="E206" t="s">
        <v>48</v>
      </c>
      <c r="F206" s="5">
        <v>45703</v>
      </c>
      <c r="G206" s="5">
        <v>45722</v>
      </c>
      <c r="H206" t="s">
        <v>18</v>
      </c>
      <c r="I206">
        <v>2025</v>
      </c>
      <c r="J206">
        <v>19</v>
      </c>
      <c r="K206" t="s">
        <v>19</v>
      </c>
      <c r="L206" t="s">
        <v>20</v>
      </c>
      <c r="M206">
        <v>5</v>
      </c>
      <c r="N206" t="s">
        <v>19</v>
      </c>
      <c r="O206">
        <v>100</v>
      </c>
      <c r="P206" t="str" cm="1">
        <f t="array" ref="P206">_xlfn.IFS(Hospital_Patient[[#This Row],[Age]]&lt;=18,"Young",Hospital_Patient[[#This Row],[Age]]&lt;=36,"Adult",Hospital_Patient[[#This Row],[Age]]&lt;=60,"Middle Age",Hospital_Patient[[#This Row],[Age]]&gt;60,"Senior")</f>
        <v>Adult</v>
      </c>
      <c r="Q206" t="str" cm="1">
        <f t="array" ref="Q2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06">
        <f>YEAR(Hospital_Patient[[#This Row],[Discharge_Date]])</f>
        <v>2025</v>
      </c>
    </row>
    <row r="207" spans="1:18" x14ac:dyDescent="0.25">
      <c r="A207">
        <v>237</v>
      </c>
      <c r="B207">
        <v>60</v>
      </c>
      <c r="C207" t="s">
        <v>15</v>
      </c>
      <c r="D207" t="s">
        <v>59</v>
      </c>
      <c r="E207" t="s">
        <v>60</v>
      </c>
      <c r="F207" s="5">
        <v>45702</v>
      </c>
      <c r="G207" s="5">
        <v>45722</v>
      </c>
      <c r="H207" t="s">
        <v>73</v>
      </c>
      <c r="I207">
        <v>2025</v>
      </c>
      <c r="J207">
        <v>20</v>
      </c>
      <c r="K207" t="s">
        <v>19</v>
      </c>
      <c r="L207" t="s">
        <v>26</v>
      </c>
      <c r="M207">
        <v>4</v>
      </c>
      <c r="N207" t="s">
        <v>21</v>
      </c>
      <c r="O207">
        <v>4000</v>
      </c>
      <c r="P207" t="str" cm="1">
        <f t="array" ref="P207">_xlfn.IFS(Hospital_Patient[[#This Row],[Age]]&lt;=18,"Young",Hospital_Patient[[#This Row],[Age]]&lt;=36,"Adult",Hospital_Patient[[#This Row],[Age]]&lt;=60,"Middle Age",Hospital_Patient[[#This Row],[Age]]&gt;60,"Senior")</f>
        <v>Middle Age</v>
      </c>
      <c r="Q207" t="str" cm="1">
        <f t="array" ref="Q2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07">
        <f>YEAR(Hospital_Patient[[#This Row],[Discharge_Date]])</f>
        <v>2025</v>
      </c>
    </row>
    <row r="208" spans="1:18" hidden="1" x14ac:dyDescent="0.25">
      <c r="A208">
        <v>755</v>
      </c>
      <c r="B208">
        <v>62</v>
      </c>
      <c r="C208" t="s">
        <v>22</v>
      </c>
      <c r="D208" t="s">
        <v>23</v>
      </c>
      <c r="E208" t="s">
        <v>24</v>
      </c>
      <c r="F208" s="5">
        <v>45667</v>
      </c>
      <c r="G208" s="5">
        <v>45721</v>
      </c>
      <c r="H208" t="s">
        <v>61</v>
      </c>
      <c r="I208">
        <v>2025</v>
      </c>
      <c r="J208">
        <v>54</v>
      </c>
      <c r="K208" t="s">
        <v>19</v>
      </c>
      <c r="L208" t="s">
        <v>26</v>
      </c>
      <c r="M208">
        <v>4</v>
      </c>
      <c r="N208" t="s">
        <v>19</v>
      </c>
      <c r="O208">
        <v>2000</v>
      </c>
      <c r="P208" t="str" cm="1">
        <f t="array" ref="P208">_xlfn.IFS(Hospital_Patient[[#This Row],[Age]]&lt;=18,"Young",Hospital_Patient[[#This Row],[Age]]&lt;=36,"Adult",Hospital_Patient[[#This Row],[Age]]&lt;=60,"Middle Age",Hospital_Patient[[#This Row],[Age]]&gt;60,"Senior")</f>
        <v>Senior</v>
      </c>
      <c r="Q208" t="str" cm="1">
        <f t="array" ref="Q2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8">
        <f>YEAR(Hospital_Patient[[#This Row],[Discharge_Date]])</f>
        <v>2025</v>
      </c>
    </row>
    <row r="209" spans="1:18" hidden="1" x14ac:dyDescent="0.25">
      <c r="A209">
        <v>541</v>
      </c>
      <c r="B209">
        <v>25</v>
      </c>
      <c r="C209" t="s">
        <v>22</v>
      </c>
      <c r="D209" t="s">
        <v>47</v>
      </c>
      <c r="E209" t="s">
        <v>48</v>
      </c>
      <c r="F209" s="5">
        <v>45682</v>
      </c>
      <c r="G209" s="5">
        <v>45719</v>
      </c>
      <c r="H209" t="s">
        <v>18</v>
      </c>
      <c r="I209">
        <v>2025</v>
      </c>
      <c r="J209">
        <v>37</v>
      </c>
      <c r="K209" t="s">
        <v>19</v>
      </c>
      <c r="L209" t="s">
        <v>20</v>
      </c>
      <c r="M209">
        <v>5</v>
      </c>
      <c r="N209" t="s">
        <v>19</v>
      </c>
      <c r="O209">
        <v>100</v>
      </c>
      <c r="P209" t="str" cm="1">
        <f t="array" ref="P209">_xlfn.IFS(Hospital_Patient[[#This Row],[Age]]&lt;=18,"Young",Hospital_Patient[[#This Row],[Age]]&lt;=36,"Adult",Hospital_Patient[[#This Row],[Age]]&lt;=60,"Middle Age",Hospital_Patient[[#This Row],[Age]]&gt;60,"Senior")</f>
        <v>Adult</v>
      </c>
      <c r="Q209" t="str" cm="1">
        <f t="array" ref="Q2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09">
        <f>YEAR(Hospital_Patient[[#This Row],[Discharge_Date]])</f>
        <v>2025</v>
      </c>
    </row>
    <row r="210" spans="1:18" x14ac:dyDescent="0.25">
      <c r="A210">
        <v>475</v>
      </c>
      <c r="B210">
        <v>30</v>
      </c>
      <c r="C210" t="s">
        <v>15</v>
      </c>
      <c r="D210" t="s">
        <v>27</v>
      </c>
      <c r="E210" t="s">
        <v>28</v>
      </c>
      <c r="F210" s="5">
        <v>45684</v>
      </c>
      <c r="G210" s="5">
        <v>45717</v>
      </c>
      <c r="H210" t="s">
        <v>69</v>
      </c>
      <c r="I210">
        <v>2025</v>
      </c>
      <c r="J210">
        <v>33</v>
      </c>
      <c r="K210" t="s">
        <v>19</v>
      </c>
      <c r="L210" t="s">
        <v>20</v>
      </c>
      <c r="M210">
        <v>5</v>
      </c>
      <c r="N210" t="s">
        <v>19</v>
      </c>
      <c r="O210">
        <v>500</v>
      </c>
      <c r="P210" t="str" cm="1">
        <f t="array" ref="P210">_xlfn.IFS(Hospital_Patient[[#This Row],[Age]]&lt;=18,"Young",Hospital_Patient[[#This Row],[Age]]&lt;=36,"Adult",Hospital_Patient[[#This Row],[Age]]&lt;=60,"Middle Age",Hospital_Patient[[#This Row],[Age]]&gt;60,"Senior")</f>
        <v>Adult</v>
      </c>
      <c r="Q210" t="str" cm="1">
        <f t="array" ref="Q2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10">
        <f>YEAR(Hospital_Patient[[#This Row],[Discharge_Date]])</f>
        <v>2025</v>
      </c>
    </row>
    <row r="211" spans="1:18" x14ac:dyDescent="0.25">
      <c r="A211">
        <v>962</v>
      </c>
      <c r="B211">
        <v>35</v>
      </c>
      <c r="C211" t="s">
        <v>15</v>
      </c>
      <c r="D211" t="s">
        <v>27</v>
      </c>
      <c r="E211" t="s">
        <v>28</v>
      </c>
      <c r="F211" s="5">
        <v>45651</v>
      </c>
      <c r="G211" s="5">
        <v>45717</v>
      </c>
      <c r="H211" t="s">
        <v>29</v>
      </c>
      <c r="I211">
        <v>2024</v>
      </c>
      <c r="J211">
        <v>66</v>
      </c>
      <c r="K211" t="s">
        <v>21</v>
      </c>
      <c r="L211" t="s">
        <v>20</v>
      </c>
      <c r="M211">
        <v>5</v>
      </c>
      <c r="N211" t="s">
        <v>21</v>
      </c>
      <c r="O211">
        <v>500</v>
      </c>
      <c r="P211" t="str" cm="1">
        <f t="array" ref="P211">_xlfn.IFS(Hospital_Patient[[#This Row],[Age]]&lt;=18,"Young",Hospital_Patient[[#This Row],[Age]]&lt;=36,"Adult",Hospital_Patient[[#This Row],[Age]]&lt;=60,"Middle Age",Hospital_Patient[[#This Row],[Age]]&gt;60,"Senior")</f>
        <v>Adult</v>
      </c>
      <c r="Q211" t="str" cm="1">
        <f t="array" ref="Q2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11">
        <f>YEAR(Hospital_Patient[[#This Row],[Discharge_Date]])</f>
        <v>2025</v>
      </c>
    </row>
    <row r="212" spans="1:18" x14ac:dyDescent="0.25">
      <c r="A212">
        <v>26</v>
      </c>
      <c r="B212">
        <v>52</v>
      </c>
      <c r="C212" t="s">
        <v>15</v>
      </c>
      <c r="D212" t="s">
        <v>49</v>
      </c>
      <c r="E212" t="s">
        <v>50</v>
      </c>
      <c r="F212" s="5">
        <v>45713</v>
      </c>
      <c r="G212" s="5">
        <v>45716</v>
      </c>
      <c r="H212" t="s">
        <v>66</v>
      </c>
      <c r="I212">
        <v>2025</v>
      </c>
      <c r="J212">
        <v>3</v>
      </c>
      <c r="K212" t="s">
        <v>19</v>
      </c>
      <c r="L212" t="s">
        <v>26</v>
      </c>
      <c r="M212">
        <v>4</v>
      </c>
      <c r="N212" t="s">
        <v>21</v>
      </c>
      <c r="O212">
        <v>800</v>
      </c>
      <c r="P212" t="str" cm="1">
        <f t="array" ref="P212">_xlfn.IFS(Hospital_Patient[[#This Row],[Age]]&lt;=18,"Young",Hospital_Patient[[#This Row],[Age]]&lt;=36,"Adult",Hospital_Patient[[#This Row],[Age]]&lt;=60,"Middle Age",Hospital_Patient[[#This Row],[Age]]&gt;60,"Senior")</f>
        <v>Middle Age</v>
      </c>
      <c r="Q212" t="str" cm="1">
        <f t="array" ref="Q2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212">
        <f>YEAR(Hospital_Patient[[#This Row],[Discharge_Date]])</f>
        <v>2025</v>
      </c>
    </row>
    <row r="213" spans="1:18" x14ac:dyDescent="0.25">
      <c r="A213">
        <v>121</v>
      </c>
      <c r="B213">
        <v>30</v>
      </c>
      <c r="C213" t="s">
        <v>15</v>
      </c>
      <c r="D213" t="s">
        <v>27</v>
      </c>
      <c r="E213" t="s">
        <v>28</v>
      </c>
      <c r="F213" s="5">
        <v>45706</v>
      </c>
      <c r="G213" s="5">
        <v>45715</v>
      </c>
      <c r="H213" t="s">
        <v>29</v>
      </c>
      <c r="I213">
        <v>2025</v>
      </c>
      <c r="J213">
        <v>9</v>
      </c>
      <c r="K213" t="s">
        <v>19</v>
      </c>
      <c r="L213" t="s">
        <v>20</v>
      </c>
      <c r="M213">
        <v>5</v>
      </c>
      <c r="N213" t="s">
        <v>21</v>
      </c>
      <c r="O213">
        <v>500</v>
      </c>
      <c r="P213" t="str" cm="1">
        <f t="array" ref="P213">_xlfn.IFS(Hospital_Patient[[#This Row],[Age]]&lt;=18,"Young",Hospital_Patient[[#This Row],[Age]]&lt;=36,"Adult",Hospital_Patient[[#This Row],[Age]]&lt;=60,"Middle Age",Hospital_Patient[[#This Row],[Age]]&gt;60,"Senior")</f>
        <v>Adult</v>
      </c>
      <c r="Q213" t="str" cm="1">
        <f t="array" ref="Q2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13">
        <f>YEAR(Hospital_Patient[[#This Row],[Discharge_Date]])</f>
        <v>2025</v>
      </c>
    </row>
    <row r="214" spans="1:18" hidden="1" x14ac:dyDescent="0.25">
      <c r="A214">
        <v>704</v>
      </c>
      <c r="B214">
        <v>28</v>
      </c>
      <c r="C214" t="s">
        <v>22</v>
      </c>
      <c r="D214" t="s">
        <v>47</v>
      </c>
      <c r="E214" t="s">
        <v>48</v>
      </c>
      <c r="F214" s="5">
        <v>45665</v>
      </c>
      <c r="G214" s="5">
        <v>45713</v>
      </c>
      <c r="H214" t="s">
        <v>74</v>
      </c>
      <c r="I214">
        <v>2025</v>
      </c>
      <c r="J214">
        <v>48</v>
      </c>
      <c r="K214" t="s">
        <v>19</v>
      </c>
      <c r="L214" t="s">
        <v>20</v>
      </c>
      <c r="M214">
        <v>5</v>
      </c>
      <c r="N214" t="s">
        <v>19</v>
      </c>
      <c r="O214">
        <v>100</v>
      </c>
      <c r="P214" t="str" cm="1">
        <f t="array" ref="P214">_xlfn.IFS(Hospital_Patient[[#This Row],[Age]]&lt;=18,"Young",Hospital_Patient[[#This Row],[Age]]&lt;=36,"Adult",Hospital_Patient[[#This Row],[Age]]&lt;=60,"Middle Age",Hospital_Patient[[#This Row],[Age]]&gt;60,"Senior")</f>
        <v>Adult</v>
      </c>
      <c r="Q214" t="str" cm="1">
        <f t="array" ref="Q2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14">
        <f>YEAR(Hospital_Patient[[#This Row],[Discharge_Date]])</f>
        <v>2025</v>
      </c>
    </row>
    <row r="215" spans="1:18" x14ac:dyDescent="0.25">
      <c r="A215">
        <v>841</v>
      </c>
      <c r="B215">
        <v>65</v>
      </c>
      <c r="C215" t="s">
        <v>15</v>
      </c>
      <c r="D215" t="s">
        <v>59</v>
      </c>
      <c r="E215" t="s">
        <v>60</v>
      </c>
      <c r="F215" s="5">
        <v>45651</v>
      </c>
      <c r="G215" s="5">
        <v>45712</v>
      </c>
      <c r="H215" t="s">
        <v>75</v>
      </c>
      <c r="I215">
        <v>2024</v>
      </c>
      <c r="J215">
        <v>61</v>
      </c>
      <c r="K215" t="s">
        <v>19</v>
      </c>
      <c r="L215" t="s">
        <v>26</v>
      </c>
      <c r="M215">
        <v>4</v>
      </c>
      <c r="N215" t="s">
        <v>21</v>
      </c>
      <c r="O215">
        <v>4000</v>
      </c>
      <c r="P215" t="str" cm="1">
        <f t="array" ref="P215">_xlfn.IFS(Hospital_Patient[[#This Row],[Age]]&lt;=18,"Young",Hospital_Patient[[#This Row],[Age]]&lt;=36,"Adult",Hospital_Patient[[#This Row],[Age]]&lt;=60,"Middle Age",Hospital_Patient[[#This Row],[Age]]&gt;60,"Senior")</f>
        <v>Senior</v>
      </c>
      <c r="Q215" t="str" cm="1">
        <f t="array" ref="Q2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15">
        <f>YEAR(Hospital_Patient[[#This Row],[Discharge_Date]])</f>
        <v>2025</v>
      </c>
    </row>
    <row r="216" spans="1:18" x14ac:dyDescent="0.25">
      <c r="A216">
        <v>149</v>
      </c>
      <c r="B216">
        <v>48</v>
      </c>
      <c r="C216" t="s">
        <v>15</v>
      </c>
      <c r="D216" t="s">
        <v>16</v>
      </c>
      <c r="E216" t="s">
        <v>17</v>
      </c>
      <c r="F216" s="5">
        <v>45696</v>
      </c>
      <c r="G216" s="5">
        <v>45711</v>
      </c>
      <c r="H216" t="s">
        <v>73</v>
      </c>
      <c r="I216">
        <v>2025</v>
      </c>
      <c r="J216">
        <v>15</v>
      </c>
      <c r="K216" t="s">
        <v>21</v>
      </c>
      <c r="L216" t="s">
        <v>20</v>
      </c>
      <c r="M216">
        <v>4</v>
      </c>
      <c r="N216" t="s">
        <v>19</v>
      </c>
      <c r="O216">
        <v>15000</v>
      </c>
      <c r="P216" t="str" cm="1">
        <f t="array" ref="P216">_xlfn.IFS(Hospital_Patient[[#This Row],[Age]]&lt;=18,"Young",Hospital_Patient[[#This Row],[Age]]&lt;=36,"Adult",Hospital_Patient[[#This Row],[Age]]&lt;=60,"Middle Age",Hospital_Patient[[#This Row],[Age]]&gt;60,"Senior")</f>
        <v>Middle Age</v>
      </c>
      <c r="Q216" t="str" cm="1">
        <f t="array" ref="Q2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16">
        <f>YEAR(Hospital_Patient[[#This Row],[Discharge_Date]])</f>
        <v>2025</v>
      </c>
    </row>
    <row r="217" spans="1:18" hidden="1" x14ac:dyDescent="0.25">
      <c r="A217">
        <v>358</v>
      </c>
      <c r="B217">
        <v>70</v>
      </c>
      <c r="C217" t="s">
        <v>22</v>
      </c>
      <c r="D217" t="s">
        <v>30</v>
      </c>
      <c r="E217" t="s">
        <v>31</v>
      </c>
      <c r="F217" s="5">
        <v>45680</v>
      </c>
      <c r="G217" s="5">
        <v>45711</v>
      </c>
      <c r="H217" t="s">
        <v>63</v>
      </c>
      <c r="I217">
        <v>2025</v>
      </c>
      <c r="J217">
        <v>31</v>
      </c>
      <c r="K217" t="s">
        <v>21</v>
      </c>
      <c r="L217" t="s">
        <v>26</v>
      </c>
      <c r="M217">
        <v>2</v>
      </c>
      <c r="N217" t="s">
        <v>19</v>
      </c>
      <c r="O217">
        <v>10000</v>
      </c>
      <c r="P217" t="str" cm="1">
        <f t="array" ref="P217">_xlfn.IFS(Hospital_Patient[[#This Row],[Age]]&lt;=18,"Young",Hospital_Patient[[#This Row],[Age]]&lt;=36,"Adult",Hospital_Patient[[#This Row],[Age]]&lt;=60,"Middle Age",Hospital_Patient[[#This Row],[Age]]&gt;60,"Senior")</f>
        <v>Senior</v>
      </c>
      <c r="Q217" t="str" cm="1">
        <f t="array" ref="Q2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17">
        <f>YEAR(Hospital_Patient[[#This Row],[Discharge_Date]])</f>
        <v>2025</v>
      </c>
    </row>
    <row r="218" spans="1:18" x14ac:dyDescent="0.25">
      <c r="A218">
        <v>293</v>
      </c>
      <c r="B218">
        <v>35</v>
      </c>
      <c r="C218" t="s">
        <v>15</v>
      </c>
      <c r="D218" t="s">
        <v>54</v>
      </c>
      <c r="E218" t="s">
        <v>55</v>
      </c>
      <c r="F218" s="5">
        <v>45688</v>
      </c>
      <c r="G218" s="5">
        <v>45710</v>
      </c>
      <c r="H218" t="s">
        <v>76</v>
      </c>
      <c r="I218">
        <v>2025</v>
      </c>
      <c r="J218">
        <v>22</v>
      </c>
      <c r="K218" t="s">
        <v>19</v>
      </c>
      <c r="L218" t="s">
        <v>20</v>
      </c>
      <c r="M218">
        <v>4</v>
      </c>
      <c r="N218" t="s">
        <v>19</v>
      </c>
      <c r="O218">
        <v>12000</v>
      </c>
      <c r="P218" t="str" cm="1">
        <f t="array" ref="P218">_xlfn.IFS(Hospital_Patient[[#This Row],[Age]]&lt;=18,"Young",Hospital_Patient[[#This Row],[Age]]&lt;=36,"Adult",Hospital_Patient[[#This Row],[Age]]&lt;=60,"Middle Age",Hospital_Patient[[#This Row],[Age]]&gt;60,"Senior")</f>
        <v>Adult</v>
      </c>
      <c r="Q218" t="str" cm="1">
        <f t="array" ref="Q2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18">
        <f>YEAR(Hospital_Patient[[#This Row],[Discharge_Date]])</f>
        <v>2025</v>
      </c>
    </row>
    <row r="219" spans="1:18" x14ac:dyDescent="0.25">
      <c r="A219">
        <v>931</v>
      </c>
      <c r="B219">
        <v>55</v>
      </c>
      <c r="C219" t="s">
        <v>15</v>
      </c>
      <c r="D219" t="s">
        <v>16</v>
      </c>
      <c r="E219" t="s">
        <v>17</v>
      </c>
      <c r="F219" s="5">
        <v>45641</v>
      </c>
      <c r="G219" s="5">
        <v>45709</v>
      </c>
      <c r="H219" t="s">
        <v>73</v>
      </c>
      <c r="I219">
        <v>2024</v>
      </c>
      <c r="J219">
        <v>68</v>
      </c>
      <c r="K219" t="s">
        <v>21</v>
      </c>
      <c r="L219" t="s">
        <v>20</v>
      </c>
      <c r="M219">
        <v>3</v>
      </c>
      <c r="N219" t="s">
        <v>19</v>
      </c>
      <c r="O219">
        <v>15000</v>
      </c>
      <c r="P219" t="str" cm="1">
        <f t="array" ref="P219">_xlfn.IFS(Hospital_Patient[[#This Row],[Age]]&lt;=18,"Young",Hospital_Patient[[#This Row],[Age]]&lt;=36,"Adult",Hospital_Patient[[#This Row],[Age]]&lt;=60,"Middle Age",Hospital_Patient[[#This Row],[Age]]&gt;60,"Senior")</f>
        <v>Middle Age</v>
      </c>
      <c r="Q219" t="str" cm="1">
        <f t="array" ref="Q2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19">
        <f>YEAR(Hospital_Patient[[#This Row],[Discharge_Date]])</f>
        <v>2025</v>
      </c>
    </row>
    <row r="220" spans="1:18" hidden="1" x14ac:dyDescent="0.25">
      <c r="A220">
        <v>173</v>
      </c>
      <c r="B220">
        <v>28</v>
      </c>
      <c r="C220" t="s">
        <v>22</v>
      </c>
      <c r="D220" t="s">
        <v>47</v>
      </c>
      <c r="E220" t="s">
        <v>48</v>
      </c>
      <c r="F220" s="5">
        <v>45696</v>
      </c>
      <c r="G220" s="5">
        <v>45708</v>
      </c>
      <c r="H220" t="s">
        <v>74</v>
      </c>
      <c r="I220">
        <v>2025</v>
      </c>
      <c r="J220">
        <v>12</v>
      </c>
      <c r="K220" t="s">
        <v>19</v>
      </c>
      <c r="L220" t="s">
        <v>20</v>
      </c>
      <c r="M220">
        <v>5</v>
      </c>
      <c r="N220" t="s">
        <v>19</v>
      </c>
      <c r="O220">
        <v>100</v>
      </c>
      <c r="P220" t="str" cm="1">
        <f t="array" ref="P220">_xlfn.IFS(Hospital_Patient[[#This Row],[Age]]&lt;=18,"Young",Hospital_Patient[[#This Row],[Age]]&lt;=36,"Adult",Hospital_Patient[[#This Row],[Age]]&lt;=60,"Middle Age",Hospital_Patient[[#This Row],[Age]]&gt;60,"Senior")</f>
        <v>Adult</v>
      </c>
      <c r="Q220" t="str" cm="1">
        <f t="array" ref="Q2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20">
        <f>YEAR(Hospital_Patient[[#This Row],[Discharge_Date]])</f>
        <v>2025</v>
      </c>
    </row>
    <row r="221" spans="1:18" x14ac:dyDescent="0.25">
      <c r="A221">
        <v>754</v>
      </c>
      <c r="B221">
        <v>55</v>
      </c>
      <c r="C221" t="s">
        <v>15</v>
      </c>
      <c r="D221" t="s">
        <v>16</v>
      </c>
      <c r="E221" t="s">
        <v>17</v>
      </c>
      <c r="F221" s="5">
        <v>45652</v>
      </c>
      <c r="G221" s="5">
        <v>45708</v>
      </c>
      <c r="H221" t="s">
        <v>73</v>
      </c>
      <c r="I221">
        <v>2024</v>
      </c>
      <c r="J221">
        <v>56</v>
      </c>
      <c r="K221" t="s">
        <v>21</v>
      </c>
      <c r="L221" t="s">
        <v>20</v>
      </c>
      <c r="M221">
        <v>3</v>
      </c>
      <c r="N221" t="s">
        <v>19</v>
      </c>
      <c r="O221">
        <v>15000</v>
      </c>
      <c r="P221" t="str" cm="1">
        <f t="array" ref="P221">_xlfn.IFS(Hospital_Patient[[#This Row],[Age]]&lt;=18,"Young",Hospital_Patient[[#This Row],[Age]]&lt;=36,"Adult",Hospital_Patient[[#This Row],[Age]]&lt;=60,"Middle Age",Hospital_Patient[[#This Row],[Age]]&gt;60,"Senior")</f>
        <v>Middle Age</v>
      </c>
      <c r="Q221" t="str" cm="1">
        <f t="array" ref="Q2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21">
        <f>YEAR(Hospital_Patient[[#This Row],[Discharge_Date]])</f>
        <v>2025</v>
      </c>
    </row>
    <row r="222" spans="1:18" hidden="1" x14ac:dyDescent="0.25">
      <c r="A222">
        <v>61</v>
      </c>
      <c r="B222">
        <v>65</v>
      </c>
      <c r="C222" t="s">
        <v>22</v>
      </c>
      <c r="D222" t="s">
        <v>23</v>
      </c>
      <c r="E222" t="s">
        <v>24</v>
      </c>
      <c r="F222" s="5">
        <v>45697</v>
      </c>
      <c r="G222" s="5">
        <v>45704</v>
      </c>
      <c r="H222" t="s">
        <v>71</v>
      </c>
      <c r="I222">
        <v>2025</v>
      </c>
      <c r="J222">
        <v>7</v>
      </c>
      <c r="K222" t="s">
        <v>19</v>
      </c>
      <c r="L222" t="s">
        <v>26</v>
      </c>
      <c r="M222">
        <v>3</v>
      </c>
      <c r="N222" t="s">
        <v>21</v>
      </c>
      <c r="O222">
        <v>2000</v>
      </c>
      <c r="P222" t="str" cm="1">
        <f t="array" ref="P222">_xlfn.IFS(Hospital_Patient[[#This Row],[Age]]&lt;=18,"Young",Hospital_Patient[[#This Row],[Age]]&lt;=36,"Adult",Hospital_Patient[[#This Row],[Age]]&lt;=60,"Middle Age",Hospital_Patient[[#This Row],[Age]]&gt;60,"Senior")</f>
        <v>Senior</v>
      </c>
      <c r="Q222" t="str" cm="1">
        <f t="array" ref="Q2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222">
        <f>YEAR(Hospital_Patient[[#This Row],[Discharge_Date]])</f>
        <v>2025</v>
      </c>
    </row>
    <row r="223" spans="1:18" hidden="1" x14ac:dyDescent="0.25">
      <c r="A223">
        <v>34</v>
      </c>
      <c r="B223">
        <v>70</v>
      </c>
      <c r="C223" t="s">
        <v>22</v>
      </c>
      <c r="D223" t="s">
        <v>30</v>
      </c>
      <c r="E223" t="s">
        <v>31</v>
      </c>
      <c r="F223" s="5">
        <v>45695</v>
      </c>
      <c r="G223" s="5">
        <v>45704</v>
      </c>
      <c r="H223" t="s">
        <v>32</v>
      </c>
      <c r="I223">
        <v>2025</v>
      </c>
      <c r="J223">
        <v>9</v>
      </c>
      <c r="K223" t="s">
        <v>21</v>
      </c>
      <c r="L223" t="s">
        <v>26</v>
      </c>
      <c r="M223">
        <v>2</v>
      </c>
      <c r="N223" t="s">
        <v>19</v>
      </c>
      <c r="O223">
        <v>10000</v>
      </c>
      <c r="P223" t="str" cm="1">
        <f t="array" ref="P223">_xlfn.IFS(Hospital_Patient[[#This Row],[Age]]&lt;=18,"Young",Hospital_Patient[[#This Row],[Age]]&lt;=36,"Adult",Hospital_Patient[[#This Row],[Age]]&lt;=60,"Middle Age",Hospital_Patient[[#This Row],[Age]]&gt;60,"Senior")</f>
        <v>Senior</v>
      </c>
      <c r="Q223" t="str" cm="1">
        <f t="array" ref="Q2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23">
        <f>YEAR(Hospital_Patient[[#This Row],[Discharge_Date]])</f>
        <v>2025</v>
      </c>
    </row>
    <row r="224" spans="1:18" x14ac:dyDescent="0.25">
      <c r="A224">
        <v>218</v>
      </c>
      <c r="B224">
        <v>52</v>
      </c>
      <c r="C224" t="s">
        <v>15</v>
      </c>
      <c r="D224" t="s">
        <v>49</v>
      </c>
      <c r="E224" t="s">
        <v>50</v>
      </c>
      <c r="F224" s="5">
        <v>45686</v>
      </c>
      <c r="G224" s="5">
        <v>45702</v>
      </c>
      <c r="H224" t="s">
        <v>51</v>
      </c>
      <c r="I224">
        <v>2025</v>
      </c>
      <c r="J224">
        <v>16</v>
      </c>
      <c r="K224" t="s">
        <v>19</v>
      </c>
      <c r="L224" t="s">
        <v>26</v>
      </c>
      <c r="M224">
        <v>4</v>
      </c>
      <c r="N224" t="s">
        <v>19</v>
      </c>
      <c r="O224">
        <v>800</v>
      </c>
      <c r="P224" t="str" cm="1">
        <f t="array" ref="P224">_xlfn.IFS(Hospital_Patient[[#This Row],[Age]]&lt;=18,"Young",Hospital_Patient[[#This Row],[Age]]&lt;=36,"Adult",Hospital_Patient[[#This Row],[Age]]&lt;=60,"Middle Age",Hospital_Patient[[#This Row],[Age]]&gt;60,"Senior")</f>
        <v>Middle Age</v>
      </c>
      <c r="Q224" t="str" cm="1">
        <f t="array" ref="Q2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24">
        <f>YEAR(Hospital_Patient[[#This Row],[Discharge_Date]])</f>
        <v>2025</v>
      </c>
    </row>
    <row r="225" spans="1:18" hidden="1" x14ac:dyDescent="0.25">
      <c r="A225">
        <v>292</v>
      </c>
      <c r="B225">
        <v>67</v>
      </c>
      <c r="C225" t="s">
        <v>22</v>
      </c>
      <c r="D225" t="s">
        <v>52</v>
      </c>
      <c r="E225" t="s">
        <v>53</v>
      </c>
      <c r="F225" s="5">
        <v>45673</v>
      </c>
      <c r="G225" s="5">
        <v>45701</v>
      </c>
      <c r="H225" t="s">
        <v>51</v>
      </c>
      <c r="I225">
        <v>2025</v>
      </c>
      <c r="J225">
        <v>28</v>
      </c>
      <c r="K225" t="s">
        <v>19</v>
      </c>
      <c r="L225" t="s">
        <v>20</v>
      </c>
      <c r="M225">
        <v>3</v>
      </c>
      <c r="N225" t="s">
        <v>19</v>
      </c>
      <c r="O225">
        <v>20000</v>
      </c>
      <c r="P225" t="str" cm="1">
        <f t="array" ref="P225">_xlfn.IFS(Hospital_Patient[[#This Row],[Age]]&lt;=18,"Young",Hospital_Patient[[#This Row],[Age]]&lt;=36,"Adult",Hospital_Patient[[#This Row],[Age]]&lt;=60,"Middle Age",Hospital_Patient[[#This Row],[Age]]&gt;60,"Senior")</f>
        <v>Senior</v>
      </c>
      <c r="Q225" t="str" cm="1">
        <f t="array" ref="Q2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25">
        <f>YEAR(Hospital_Patient[[#This Row],[Discharge_Date]])</f>
        <v>2025</v>
      </c>
    </row>
    <row r="226" spans="1:18" x14ac:dyDescent="0.25">
      <c r="A226">
        <v>341</v>
      </c>
      <c r="B226">
        <v>55</v>
      </c>
      <c r="C226" t="s">
        <v>15</v>
      </c>
      <c r="D226" t="s">
        <v>16</v>
      </c>
      <c r="E226" t="s">
        <v>17</v>
      </c>
      <c r="F226" s="5">
        <v>45671</v>
      </c>
      <c r="G226" s="5">
        <v>45699</v>
      </c>
      <c r="H226" t="s">
        <v>18</v>
      </c>
      <c r="I226">
        <v>2025</v>
      </c>
      <c r="J226">
        <v>28</v>
      </c>
      <c r="K226" t="s">
        <v>21</v>
      </c>
      <c r="L226" t="s">
        <v>20</v>
      </c>
      <c r="M226">
        <v>3</v>
      </c>
      <c r="N226" t="s">
        <v>19</v>
      </c>
      <c r="O226">
        <v>15000</v>
      </c>
      <c r="P226" t="str" cm="1">
        <f t="array" ref="P226">_xlfn.IFS(Hospital_Patient[[#This Row],[Age]]&lt;=18,"Young",Hospital_Patient[[#This Row],[Age]]&lt;=36,"Adult",Hospital_Patient[[#This Row],[Age]]&lt;=60,"Middle Age",Hospital_Patient[[#This Row],[Age]]&gt;60,"Senior")</f>
        <v>Middle Age</v>
      </c>
      <c r="Q226" t="str" cm="1">
        <f t="array" ref="Q2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26">
        <f>YEAR(Hospital_Patient[[#This Row],[Discharge_Date]])</f>
        <v>2025</v>
      </c>
    </row>
    <row r="227" spans="1:18" x14ac:dyDescent="0.25">
      <c r="A227">
        <v>547</v>
      </c>
      <c r="B227">
        <v>55</v>
      </c>
      <c r="C227" t="s">
        <v>15</v>
      </c>
      <c r="D227" t="s">
        <v>16</v>
      </c>
      <c r="E227" t="s">
        <v>17</v>
      </c>
      <c r="F227" s="5">
        <v>45657</v>
      </c>
      <c r="G227" s="5">
        <v>45699</v>
      </c>
      <c r="H227" t="s">
        <v>73</v>
      </c>
      <c r="I227">
        <v>2024</v>
      </c>
      <c r="J227">
        <v>42</v>
      </c>
      <c r="K227" t="s">
        <v>21</v>
      </c>
      <c r="L227" t="s">
        <v>20</v>
      </c>
      <c r="M227">
        <v>3</v>
      </c>
      <c r="N227" t="s">
        <v>19</v>
      </c>
      <c r="O227">
        <v>15000</v>
      </c>
      <c r="P227" t="str" cm="1">
        <f t="array" ref="P227">_xlfn.IFS(Hospital_Patient[[#This Row],[Age]]&lt;=18,"Young",Hospital_Patient[[#This Row],[Age]]&lt;=36,"Adult",Hospital_Patient[[#This Row],[Age]]&lt;=60,"Middle Age",Hospital_Patient[[#This Row],[Age]]&gt;60,"Senior")</f>
        <v>Middle Age</v>
      </c>
      <c r="Q227" t="str" cm="1">
        <f t="array" ref="Q2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27">
        <f>YEAR(Hospital_Patient[[#This Row],[Discharge_Date]])</f>
        <v>2025</v>
      </c>
    </row>
    <row r="228" spans="1:18" hidden="1" x14ac:dyDescent="0.25">
      <c r="A228">
        <v>744</v>
      </c>
      <c r="B228">
        <v>68</v>
      </c>
      <c r="C228" t="s">
        <v>22</v>
      </c>
      <c r="D228" t="s">
        <v>36</v>
      </c>
      <c r="E228" t="s">
        <v>37</v>
      </c>
      <c r="F228" s="5">
        <v>45645</v>
      </c>
      <c r="G228" s="5">
        <v>45699</v>
      </c>
      <c r="H228" t="s">
        <v>38</v>
      </c>
      <c r="I228">
        <v>2024</v>
      </c>
      <c r="J228">
        <v>54</v>
      </c>
      <c r="K228" t="s">
        <v>19</v>
      </c>
      <c r="L228" t="s">
        <v>26</v>
      </c>
      <c r="M228">
        <v>4</v>
      </c>
      <c r="N228" t="s">
        <v>19</v>
      </c>
      <c r="O228">
        <v>1000</v>
      </c>
      <c r="P228" t="str" cm="1">
        <f t="array" ref="P228">_xlfn.IFS(Hospital_Patient[[#This Row],[Age]]&lt;=18,"Young",Hospital_Patient[[#This Row],[Age]]&lt;=36,"Adult",Hospital_Patient[[#This Row],[Age]]&lt;=60,"Middle Age",Hospital_Patient[[#This Row],[Age]]&gt;60,"Senior")</f>
        <v>Senior</v>
      </c>
      <c r="Q228" t="str" cm="1">
        <f t="array" ref="Q2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28">
        <f>YEAR(Hospital_Patient[[#This Row],[Discharge_Date]])</f>
        <v>2025</v>
      </c>
    </row>
    <row r="229" spans="1:18" x14ac:dyDescent="0.25">
      <c r="A229">
        <v>907</v>
      </c>
      <c r="B229">
        <v>60</v>
      </c>
      <c r="C229" t="s">
        <v>15</v>
      </c>
      <c r="D229" t="s">
        <v>39</v>
      </c>
      <c r="E229" t="s">
        <v>40</v>
      </c>
      <c r="F229" s="5">
        <v>45632</v>
      </c>
      <c r="G229" s="5">
        <v>45699</v>
      </c>
      <c r="H229" t="s">
        <v>18</v>
      </c>
      <c r="I229">
        <v>2024</v>
      </c>
      <c r="J229">
        <v>67</v>
      </c>
      <c r="K229" t="s">
        <v>21</v>
      </c>
      <c r="L229" t="s">
        <v>20</v>
      </c>
      <c r="M229">
        <v>3</v>
      </c>
      <c r="N229" t="s">
        <v>19</v>
      </c>
      <c r="O229">
        <v>8000</v>
      </c>
      <c r="P229" t="str" cm="1">
        <f t="array" ref="P229">_xlfn.IFS(Hospital_Patient[[#This Row],[Age]]&lt;=18,"Young",Hospital_Patient[[#This Row],[Age]]&lt;=36,"Adult",Hospital_Patient[[#This Row],[Age]]&lt;=60,"Middle Age",Hospital_Patient[[#This Row],[Age]]&gt;60,"Senior")</f>
        <v>Middle Age</v>
      </c>
      <c r="Q229" t="str" cm="1">
        <f t="array" ref="Q2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29">
        <f>YEAR(Hospital_Patient[[#This Row],[Discharge_Date]])</f>
        <v>2025</v>
      </c>
    </row>
    <row r="230" spans="1:18" hidden="1" x14ac:dyDescent="0.25">
      <c r="A230">
        <v>482</v>
      </c>
      <c r="B230">
        <v>25</v>
      </c>
      <c r="C230" t="s">
        <v>22</v>
      </c>
      <c r="D230" t="s">
        <v>47</v>
      </c>
      <c r="E230" t="s">
        <v>48</v>
      </c>
      <c r="F230" s="5">
        <v>45664</v>
      </c>
      <c r="G230" s="5">
        <v>45697</v>
      </c>
      <c r="H230" t="s">
        <v>74</v>
      </c>
      <c r="I230">
        <v>2025</v>
      </c>
      <c r="J230">
        <v>33</v>
      </c>
      <c r="K230" t="s">
        <v>19</v>
      </c>
      <c r="L230" t="s">
        <v>20</v>
      </c>
      <c r="M230">
        <v>5</v>
      </c>
      <c r="N230" t="s">
        <v>19</v>
      </c>
      <c r="O230">
        <v>100</v>
      </c>
      <c r="P230" t="str" cm="1">
        <f t="array" ref="P230">_xlfn.IFS(Hospital_Patient[[#This Row],[Age]]&lt;=18,"Young",Hospital_Patient[[#This Row],[Age]]&lt;=36,"Adult",Hospital_Patient[[#This Row],[Age]]&lt;=60,"Middle Age",Hospital_Patient[[#This Row],[Age]]&gt;60,"Senior")</f>
        <v>Adult</v>
      </c>
      <c r="Q230" t="str" cm="1">
        <f t="array" ref="Q2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30">
        <f>YEAR(Hospital_Patient[[#This Row],[Discharge_Date]])</f>
        <v>2025</v>
      </c>
    </row>
    <row r="231" spans="1:18" hidden="1" x14ac:dyDescent="0.25">
      <c r="A231">
        <v>838</v>
      </c>
      <c r="B231">
        <v>58</v>
      </c>
      <c r="C231" t="s">
        <v>22</v>
      </c>
      <c r="D231" t="s">
        <v>52</v>
      </c>
      <c r="E231" t="s">
        <v>53</v>
      </c>
      <c r="F231" s="5">
        <v>45627</v>
      </c>
      <c r="G231" s="5">
        <v>45692</v>
      </c>
      <c r="H231" t="s">
        <v>41</v>
      </c>
      <c r="I231">
        <v>2024</v>
      </c>
      <c r="J231">
        <v>65</v>
      </c>
      <c r="K231" t="s">
        <v>19</v>
      </c>
      <c r="L231" t="s">
        <v>20</v>
      </c>
      <c r="M231">
        <v>3</v>
      </c>
      <c r="N231" t="s">
        <v>19</v>
      </c>
      <c r="O231">
        <v>20000</v>
      </c>
      <c r="P231" t="str" cm="1">
        <f t="array" ref="P231">_xlfn.IFS(Hospital_Patient[[#This Row],[Age]]&lt;=18,"Young",Hospital_Patient[[#This Row],[Age]]&lt;=36,"Adult",Hospital_Patient[[#This Row],[Age]]&lt;=60,"Middle Age",Hospital_Patient[[#This Row],[Age]]&gt;60,"Senior")</f>
        <v>Middle Age</v>
      </c>
      <c r="Q231" t="str" cm="1">
        <f t="array" ref="Q2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31">
        <f>YEAR(Hospital_Patient[[#This Row],[Discharge_Date]])</f>
        <v>2025</v>
      </c>
    </row>
    <row r="232" spans="1:18" x14ac:dyDescent="0.25">
      <c r="A232">
        <v>190</v>
      </c>
      <c r="B232">
        <v>32</v>
      </c>
      <c r="C232" t="s">
        <v>15</v>
      </c>
      <c r="D232" t="s">
        <v>54</v>
      </c>
      <c r="E232" t="s">
        <v>55</v>
      </c>
      <c r="F232" s="5">
        <v>45673</v>
      </c>
      <c r="G232" s="5">
        <v>45688</v>
      </c>
      <c r="H232" t="s">
        <v>56</v>
      </c>
      <c r="I232">
        <v>2025</v>
      </c>
      <c r="J232">
        <v>15</v>
      </c>
      <c r="K232" t="s">
        <v>19</v>
      </c>
      <c r="L232" t="s">
        <v>20</v>
      </c>
      <c r="M232">
        <v>4</v>
      </c>
      <c r="N232" t="s">
        <v>19</v>
      </c>
      <c r="O232">
        <v>12000</v>
      </c>
      <c r="P232" t="str" cm="1">
        <f t="array" ref="P232">_xlfn.IFS(Hospital_Patient[[#This Row],[Age]]&lt;=18,"Young",Hospital_Patient[[#This Row],[Age]]&lt;=36,"Adult",Hospital_Patient[[#This Row],[Age]]&lt;=60,"Middle Age",Hospital_Patient[[#This Row],[Age]]&gt;60,"Senior")</f>
        <v>Adult</v>
      </c>
      <c r="Q232" t="str" cm="1">
        <f t="array" ref="Q2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32">
        <f>YEAR(Hospital_Patient[[#This Row],[Discharge_Date]])</f>
        <v>2025</v>
      </c>
    </row>
    <row r="233" spans="1:18" hidden="1" x14ac:dyDescent="0.25">
      <c r="A233">
        <v>145</v>
      </c>
      <c r="B233">
        <v>67</v>
      </c>
      <c r="C233" t="s">
        <v>22</v>
      </c>
      <c r="D233" t="s">
        <v>52</v>
      </c>
      <c r="E233" t="s">
        <v>53</v>
      </c>
      <c r="F233" s="5">
        <v>45670</v>
      </c>
      <c r="G233" s="5">
        <v>45688</v>
      </c>
      <c r="H233" t="s">
        <v>51</v>
      </c>
      <c r="I233">
        <v>2025</v>
      </c>
      <c r="J233">
        <v>18</v>
      </c>
      <c r="K233" t="s">
        <v>19</v>
      </c>
      <c r="L233" t="s">
        <v>20</v>
      </c>
      <c r="M233">
        <v>3</v>
      </c>
      <c r="N233" t="s">
        <v>19</v>
      </c>
      <c r="O233">
        <v>20000</v>
      </c>
      <c r="P233" t="str" cm="1">
        <f t="array" ref="P233">_xlfn.IFS(Hospital_Patient[[#This Row],[Age]]&lt;=18,"Young",Hospital_Patient[[#This Row],[Age]]&lt;=36,"Adult",Hospital_Patient[[#This Row],[Age]]&lt;=60,"Middle Age",Hospital_Patient[[#This Row],[Age]]&gt;60,"Senior")</f>
        <v>Senior</v>
      </c>
      <c r="Q233" t="str" cm="1">
        <f t="array" ref="Q2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33">
        <f>YEAR(Hospital_Patient[[#This Row],[Discharge_Date]])</f>
        <v>2025</v>
      </c>
    </row>
    <row r="234" spans="1:18" x14ac:dyDescent="0.25">
      <c r="A234">
        <v>903</v>
      </c>
      <c r="B234">
        <v>35</v>
      </c>
      <c r="C234" t="s">
        <v>15</v>
      </c>
      <c r="D234" t="s">
        <v>27</v>
      </c>
      <c r="E234" t="s">
        <v>28</v>
      </c>
      <c r="F234" s="5">
        <v>45626</v>
      </c>
      <c r="G234" s="5">
        <v>45688</v>
      </c>
      <c r="H234" t="s">
        <v>29</v>
      </c>
      <c r="I234">
        <v>2024</v>
      </c>
      <c r="J234">
        <v>62</v>
      </c>
      <c r="K234" t="s">
        <v>21</v>
      </c>
      <c r="L234" t="s">
        <v>20</v>
      </c>
      <c r="M234">
        <v>5</v>
      </c>
      <c r="N234" t="s">
        <v>19</v>
      </c>
      <c r="O234">
        <v>500</v>
      </c>
      <c r="P234" t="str" cm="1">
        <f t="array" ref="P234">_xlfn.IFS(Hospital_Patient[[#This Row],[Age]]&lt;=18,"Young",Hospital_Patient[[#This Row],[Age]]&lt;=36,"Adult",Hospital_Patient[[#This Row],[Age]]&lt;=60,"Middle Age",Hospital_Patient[[#This Row],[Age]]&gt;60,"Senior")</f>
        <v>Adult</v>
      </c>
      <c r="Q234" t="str" cm="1">
        <f t="array" ref="Q2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34">
        <f>YEAR(Hospital_Patient[[#This Row],[Discharge_Date]])</f>
        <v>2025</v>
      </c>
    </row>
    <row r="235" spans="1:18" x14ac:dyDescent="0.25">
      <c r="A235">
        <v>507</v>
      </c>
      <c r="B235">
        <v>55</v>
      </c>
      <c r="C235" t="s">
        <v>15</v>
      </c>
      <c r="D235" t="s">
        <v>33</v>
      </c>
      <c r="E235" t="s">
        <v>34</v>
      </c>
      <c r="F235" s="5">
        <v>45643</v>
      </c>
      <c r="G235" s="5">
        <v>45687</v>
      </c>
      <c r="H235" t="s">
        <v>64</v>
      </c>
      <c r="I235">
        <v>2024</v>
      </c>
      <c r="J235">
        <v>44</v>
      </c>
      <c r="K235" t="s">
        <v>19</v>
      </c>
      <c r="L235" t="s">
        <v>20</v>
      </c>
      <c r="M235">
        <v>4</v>
      </c>
      <c r="N235" t="s">
        <v>19</v>
      </c>
      <c r="O235">
        <v>25000</v>
      </c>
      <c r="P235" t="str" cm="1">
        <f t="array" ref="P235">_xlfn.IFS(Hospital_Patient[[#This Row],[Age]]&lt;=18,"Young",Hospital_Patient[[#This Row],[Age]]&lt;=36,"Adult",Hospital_Patient[[#This Row],[Age]]&lt;=60,"Middle Age",Hospital_Patient[[#This Row],[Age]]&gt;60,"Senior")</f>
        <v>Middle Age</v>
      </c>
      <c r="Q235" t="str" cm="1">
        <f t="array" ref="Q2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35">
        <f>YEAR(Hospital_Patient[[#This Row],[Discharge_Date]])</f>
        <v>2025</v>
      </c>
    </row>
    <row r="236" spans="1:18" x14ac:dyDescent="0.25">
      <c r="A236">
        <v>161</v>
      </c>
      <c r="B236">
        <v>32</v>
      </c>
      <c r="C236" t="s">
        <v>15</v>
      </c>
      <c r="D236" t="s">
        <v>54</v>
      </c>
      <c r="E236" t="s">
        <v>55</v>
      </c>
      <c r="F236" s="5">
        <v>45673</v>
      </c>
      <c r="G236" s="5">
        <v>45686</v>
      </c>
      <c r="H236" t="s">
        <v>74</v>
      </c>
      <c r="I236">
        <v>2025</v>
      </c>
      <c r="J236">
        <v>13</v>
      </c>
      <c r="K236" t="s">
        <v>19</v>
      </c>
      <c r="L236" t="s">
        <v>20</v>
      </c>
      <c r="M236">
        <v>4</v>
      </c>
      <c r="N236" t="s">
        <v>19</v>
      </c>
      <c r="O236">
        <v>12000</v>
      </c>
      <c r="P236" t="str" cm="1">
        <f t="array" ref="P236">_xlfn.IFS(Hospital_Patient[[#This Row],[Age]]&lt;=18,"Young",Hospital_Patient[[#This Row],[Age]]&lt;=36,"Adult",Hospital_Patient[[#This Row],[Age]]&lt;=60,"Middle Age",Hospital_Patient[[#This Row],[Age]]&gt;60,"Senior")</f>
        <v>Adult</v>
      </c>
      <c r="Q236" t="str" cm="1">
        <f t="array" ref="Q2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36">
        <f>YEAR(Hospital_Patient[[#This Row],[Discharge_Date]])</f>
        <v>2025</v>
      </c>
    </row>
    <row r="237" spans="1:18" hidden="1" x14ac:dyDescent="0.25">
      <c r="A237">
        <v>120</v>
      </c>
      <c r="B237">
        <v>65</v>
      </c>
      <c r="C237" t="s">
        <v>22</v>
      </c>
      <c r="D237" t="s">
        <v>23</v>
      </c>
      <c r="E237" t="s">
        <v>24</v>
      </c>
      <c r="F237" s="5">
        <v>45672</v>
      </c>
      <c r="G237" s="5">
        <v>45683</v>
      </c>
      <c r="H237" t="s">
        <v>71</v>
      </c>
      <c r="I237">
        <v>2025</v>
      </c>
      <c r="J237">
        <v>11</v>
      </c>
      <c r="K237" t="s">
        <v>19</v>
      </c>
      <c r="L237" t="s">
        <v>26</v>
      </c>
      <c r="M237">
        <v>3</v>
      </c>
      <c r="N237" t="s">
        <v>19</v>
      </c>
      <c r="O237">
        <v>2000</v>
      </c>
      <c r="P237" t="str" cm="1">
        <f t="array" ref="P237">_xlfn.IFS(Hospital_Patient[[#This Row],[Age]]&lt;=18,"Young",Hospital_Patient[[#This Row],[Age]]&lt;=36,"Adult",Hospital_Patient[[#This Row],[Age]]&lt;=60,"Middle Age",Hospital_Patient[[#This Row],[Age]]&gt;60,"Senior")</f>
        <v>Senior</v>
      </c>
      <c r="Q237" t="str" cm="1">
        <f t="array" ref="Q2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37">
        <f>YEAR(Hospital_Patient[[#This Row],[Discharge_Date]])</f>
        <v>2025</v>
      </c>
    </row>
    <row r="238" spans="1:18" hidden="1" x14ac:dyDescent="0.25">
      <c r="A238">
        <v>55</v>
      </c>
      <c r="B238">
        <v>28</v>
      </c>
      <c r="C238" t="s">
        <v>22</v>
      </c>
      <c r="D238" t="s">
        <v>47</v>
      </c>
      <c r="E238" t="s">
        <v>48</v>
      </c>
      <c r="F238" s="5">
        <v>45674</v>
      </c>
      <c r="G238" s="5">
        <v>45678</v>
      </c>
      <c r="H238" t="s">
        <v>74</v>
      </c>
      <c r="I238">
        <v>2025</v>
      </c>
      <c r="J238">
        <v>4</v>
      </c>
      <c r="K238" t="s">
        <v>19</v>
      </c>
      <c r="L238" t="s">
        <v>20</v>
      </c>
      <c r="M238">
        <v>5</v>
      </c>
      <c r="N238" t="s">
        <v>21</v>
      </c>
      <c r="O238">
        <v>100</v>
      </c>
      <c r="P238" t="str" cm="1">
        <f t="array" ref="P238">_xlfn.IFS(Hospital_Patient[[#This Row],[Age]]&lt;=18,"Young",Hospital_Patient[[#This Row],[Age]]&lt;=36,"Adult",Hospital_Patient[[#This Row],[Age]]&lt;=60,"Middle Age",Hospital_Patient[[#This Row],[Age]]&gt;60,"Senior")</f>
        <v>Adult</v>
      </c>
      <c r="Q238" t="str" cm="1">
        <f t="array" ref="Q2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238">
        <f>YEAR(Hospital_Patient[[#This Row],[Discharge_Date]])</f>
        <v>2025</v>
      </c>
    </row>
    <row r="239" spans="1:18" hidden="1" x14ac:dyDescent="0.25">
      <c r="A239">
        <v>112</v>
      </c>
      <c r="B239">
        <v>45</v>
      </c>
      <c r="C239" t="s">
        <v>22</v>
      </c>
      <c r="D239" t="s">
        <v>42</v>
      </c>
      <c r="E239" t="s">
        <v>43</v>
      </c>
      <c r="F239" s="5">
        <v>45665</v>
      </c>
      <c r="G239" s="5">
        <v>45678</v>
      </c>
      <c r="H239" t="s">
        <v>44</v>
      </c>
      <c r="I239">
        <v>2025</v>
      </c>
      <c r="J239">
        <v>13</v>
      </c>
      <c r="K239" t="s">
        <v>19</v>
      </c>
      <c r="L239" t="s">
        <v>20</v>
      </c>
      <c r="M239">
        <v>4</v>
      </c>
      <c r="N239" t="s">
        <v>19</v>
      </c>
      <c r="O239">
        <v>3000</v>
      </c>
      <c r="P239" t="str" cm="1">
        <f t="array" ref="P239">_xlfn.IFS(Hospital_Patient[[#This Row],[Age]]&lt;=18,"Young",Hospital_Patient[[#This Row],[Age]]&lt;=36,"Adult",Hospital_Patient[[#This Row],[Age]]&lt;=60,"Middle Age",Hospital_Patient[[#This Row],[Age]]&gt;60,"Senior")</f>
        <v>Middle Age</v>
      </c>
      <c r="Q239" t="str" cm="1">
        <f t="array" ref="Q2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39">
        <f>YEAR(Hospital_Patient[[#This Row],[Discharge_Date]])</f>
        <v>2025</v>
      </c>
    </row>
    <row r="240" spans="1:18" hidden="1" x14ac:dyDescent="0.25">
      <c r="A240">
        <v>206</v>
      </c>
      <c r="B240">
        <v>50</v>
      </c>
      <c r="C240" t="s">
        <v>22</v>
      </c>
      <c r="D240" t="s">
        <v>57</v>
      </c>
      <c r="E240" t="s">
        <v>58</v>
      </c>
      <c r="F240" s="5">
        <v>45661</v>
      </c>
      <c r="G240" s="5">
        <v>45678</v>
      </c>
      <c r="H240" t="s">
        <v>44</v>
      </c>
      <c r="I240">
        <v>2025</v>
      </c>
      <c r="J240">
        <v>17</v>
      </c>
      <c r="K240" t="s">
        <v>19</v>
      </c>
      <c r="L240" t="s">
        <v>20</v>
      </c>
      <c r="M240">
        <v>3</v>
      </c>
      <c r="N240" t="s">
        <v>19</v>
      </c>
      <c r="O240">
        <v>6000</v>
      </c>
      <c r="P240" t="str" cm="1">
        <f t="array" ref="P240">_xlfn.IFS(Hospital_Patient[[#This Row],[Age]]&lt;=18,"Young",Hospital_Patient[[#This Row],[Age]]&lt;=36,"Adult",Hospital_Patient[[#This Row],[Age]]&lt;=60,"Middle Age",Hospital_Patient[[#This Row],[Age]]&gt;60,"Senior")</f>
        <v>Middle Age</v>
      </c>
      <c r="Q240" t="str" cm="1">
        <f t="array" ref="Q2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40">
        <f>YEAR(Hospital_Patient[[#This Row],[Discharge_Date]])</f>
        <v>2025</v>
      </c>
    </row>
    <row r="241" spans="1:18" hidden="1" x14ac:dyDescent="0.25">
      <c r="A241">
        <v>942</v>
      </c>
      <c r="B241">
        <v>67</v>
      </c>
      <c r="C241" t="s">
        <v>22</v>
      </c>
      <c r="D241" t="s">
        <v>52</v>
      </c>
      <c r="E241" t="s">
        <v>53</v>
      </c>
      <c r="F241" s="5">
        <v>45606</v>
      </c>
      <c r="G241" s="5">
        <v>45678</v>
      </c>
      <c r="H241" t="s">
        <v>18</v>
      </c>
      <c r="I241">
        <v>2024</v>
      </c>
      <c r="J241">
        <v>72</v>
      </c>
      <c r="K241" t="s">
        <v>19</v>
      </c>
      <c r="L241" t="s">
        <v>20</v>
      </c>
      <c r="M241">
        <v>3</v>
      </c>
      <c r="N241" t="s">
        <v>21</v>
      </c>
      <c r="O241">
        <v>20000</v>
      </c>
      <c r="P241" t="str" cm="1">
        <f t="array" ref="P241">_xlfn.IFS(Hospital_Patient[[#This Row],[Age]]&lt;=18,"Young",Hospital_Patient[[#This Row],[Age]]&lt;=36,"Adult",Hospital_Patient[[#This Row],[Age]]&lt;=60,"Middle Age",Hospital_Patient[[#This Row],[Age]]&gt;60,"Senior")</f>
        <v>Senior</v>
      </c>
      <c r="Q241" t="str" cm="1">
        <f t="array" ref="Q2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41">
        <f>YEAR(Hospital_Patient[[#This Row],[Discharge_Date]])</f>
        <v>2025</v>
      </c>
    </row>
    <row r="242" spans="1:18" hidden="1" x14ac:dyDescent="0.25">
      <c r="A242">
        <v>750</v>
      </c>
      <c r="B242">
        <v>58</v>
      </c>
      <c r="C242" t="s">
        <v>22</v>
      </c>
      <c r="D242" t="s">
        <v>52</v>
      </c>
      <c r="E242" t="s">
        <v>53</v>
      </c>
      <c r="F242" s="5">
        <v>45618</v>
      </c>
      <c r="G242" s="5">
        <v>45677</v>
      </c>
      <c r="H242" t="s">
        <v>67</v>
      </c>
      <c r="I242">
        <v>2024</v>
      </c>
      <c r="J242">
        <v>59</v>
      </c>
      <c r="K242" t="s">
        <v>19</v>
      </c>
      <c r="L242" t="s">
        <v>20</v>
      </c>
      <c r="M242">
        <v>3</v>
      </c>
      <c r="N242" t="s">
        <v>21</v>
      </c>
      <c r="O242">
        <v>20000</v>
      </c>
      <c r="P242" t="str" cm="1">
        <f t="array" ref="P242">_xlfn.IFS(Hospital_Patient[[#This Row],[Age]]&lt;=18,"Young",Hospital_Patient[[#This Row],[Age]]&lt;=36,"Adult",Hospital_Patient[[#This Row],[Age]]&lt;=60,"Middle Age",Hospital_Patient[[#This Row],[Age]]&gt;60,"Senior")</f>
        <v>Middle Age</v>
      </c>
      <c r="Q242" t="str" cm="1">
        <f t="array" ref="Q2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42">
        <f>YEAR(Hospital_Patient[[#This Row],[Discharge_Date]])</f>
        <v>2025</v>
      </c>
    </row>
    <row r="243" spans="1:18" hidden="1" x14ac:dyDescent="0.25">
      <c r="A243">
        <v>335</v>
      </c>
      <c r="B243">
        <v>25</v>
      </c>
      <c r="C243" t="s">
        <v>22</v>
      </c>
      <c r="D243" t="s">
        <v>47</v>
      </c>
      <c r="E243" t="s">
        <v>48</v>
      </c>
      <c r="F243" s="5">
        <v>45653</v>
      </c>
      <c r="G243" s="5">
        <v>45676</v>
      </c>
      <c r="H243" t="s">
        <v>74</v>
      </c>
      <c r="I243">
        <v>2024</v>
      </c>
      <c r="J243">
        <v>23</v>
      </c>
      <c r="K243" t="s">
        <v>19</v>
      </c>
      <c r="L243" t="s">
        <v>20</v>
      </c>
      <c r="M243">
        <v>5</v>
      </c>
      <c r="N243" t="s">
        <v>21</v>
      </c>
      <c r="O243">
        <v>100</v>
      </c>
      <c r="P243" t="str" cm="1">
        <f t="array" ref="P243">_xlfn.IFS(Hospital_Patient[[#This Row],[Age]]&lt;=18,"Young",Hospital_Patient[[#This Row],[Age]]&lt;=36,"Adult",Hospital_Patient[[#This Row],[Age]]&lt;=60,"Middle Age",Hospital_Patient[[#This Row],[Age]]&gt;60,"Senior")</f>
        <v>Adult</v>
      </c>
      <c r="Q243" t="str" cm="1">
        <f t="array" ref="Q2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43">
        <f>YEAR(Hospital_Patient[[#This Row],[Discharge_Date]])</f>
        <v>2025</v>
      </c>
    </row>
    <row r="244" spans="1:18" x14ac:dyDescent="0.25">
      <c r="A244">
        <v>378</v>
      </c>
      <c r="B244">
        <v>75</v>
      </c>
      <c r="C244" t="s">
        <v>15</v>
      </c>
      <c r="D244" t="s">
        <v>45</v>
      </c>
      <c r="E244" t="s">
        <v>46</v>
      </c>
      <c r="F244" s="5">
        <v>45641</v>
      </c>
      <c r="G244" s="5">
        <v>45674</v>
      </c>
      <c r="H244" t="s">
        <v>65</v>
      </c>
      <c r="I244">
        <v>2024</v>
      </c>
      <c r="J244">
        <v>33</v>
      </c>
      <c r="K244" t="s">
        <v>21</v>
      </c>
      <c r="L244" t="s">
        <v>26</v>
      </c>
      <c r="M244">
        <v>2</v>
      </c>
      <c r="N244" t="s">
        <v>19</v>
      </c>
      <c r="O244">
        <v>18000</v>
      </c>
      <c r="P244" t="str" cm="1">
        <f t="array" ref="P244">_xlfn.IFS(Hospital_Patient[[#This Row],[Age]]&lt;=18,"Young",Hospital_Patient[[#This Row],[Age]]&lt;=36,"Adult",Hospital_Patient[[#This Row],[Age]]&lt;=60,"Middle Age",Hospital_Patient[[#This Row],[Age]]&gt;60,"Senior")</f>
        <v>Senior</v>
      </c>
      <c r="Q244" t="str" cm="1">
        <f t="array" ref="Q2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44">
        <f>YEAR(Hospital_Patient[[#This Row],[Discharge_Date]])</f>
        <v>2025</v>
      </c>
    </row>
    <row r="245" spans="1:18" hidden="1" x14ac:dyDescent="0.25">
      <c r="A245">
        <v>590</v>
      </c>
      <c r="B245">
        <v>50</v>
      </c>
      <c r="C245" t="s">
        <v>22</v>
      </c>
      <c r="D245" t="s">
        <v>57</v>
      </c>
      <c r="E245" t="s">
        <v>58</v>
      </c>
      <c r="F245" s="5">
        <v>45631</v>
      </c>
      <c r="G245" s="5">
        <v>45674</v>
      </c>
      <c r="H245" t="s">
        <v>69</v>
      </c>
      <c r="I245">
        <v>2024</v>
      </c>
      <c r="J245">
        <v>43</v>
      </c>
      <c r="K245" t="s">
        <v>19</v>
      </c>
      <c r="L245" t="s">
        <v>20</v>
      </c>
      <c r="M245">
        <v>3</v>
      </c>
      <c r="N245" t="s">
        <v>19</v>
      </c>
      <c r="O245">
        <v>6000</v>
      </c>
      <c r="P245" t="str" cm="1">
        <f t="array" ref="P245">_xlfn.IFS(Hospital_Patient[[#This Row],[Age]]&lt;=18,"Young",Hospital_Patient[[#This Row],[Age]]&lt;=36,"Adult",Hospital_Patient[[#This Row],[Age]]&lt;=60,"Middle Age",Hospital_Patient[[#This Row],[Age]]&gt;60,"Senior")</f>
        <v>Middle Age</v>
      </c>
      <c r="Q245" t="str" cm="1">
        <f t="array" ref="Q2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45">
        <f>YEAR(Hospital_Patient[[#This Row],[Discharge_Date]])</f>
        <v>2025</v>
      </c>
    </row>
    <row r="246" spans="1:18" x14ac:dyDescent="0.25">
      <c r="A246">
        <v>164</v>
      </c>
      <c r="B246">
        <v>55</v>
      </c>
      <c r="C246" t="s">
        <v>15</v>
      </c>
      <c r="D246" t="s">
        <v>16</v>
      </c>
      <c r="E246" t="s">
        <v>17</v>
      </c>
      <c r="F246" s="5">
        <v>45655</v>
      </c>
      <c r="G246" s="5">
        <v>45671</v>
      </c>
      <c r="H246" t="s">
        <v>18</v>
      </c>
      <c r="I246">
        <v>2024</v>
      </c>
      <c r="J246">
        <v>16</v>
      </c>
      <c r="K246" t="s">
        <v>21</v>
      </c>
      <c r="L246" t="s">
        <v>20</v>
      </c>
      <c r="M246">
        <v>3</v>
      </c>
      <c r="N246" t="s">
        <v>19</v>
      </c>
      <c r="O246">
        <v>15000</v>
      </c>
      <c r="P246" t="str" cm="1">
        <f t="array" ref="P246">_xlfn.IFS(Hospital_Patient[[#This Row],[Age]]&lt;=18,"Young",Hospital_Patient[[#This Row],[Age]]&lt;=36,"Adult",Hospital_Patient[[#This Row],[Age]]&lt;=60,"Middle Age",Hospital_Patient[[#This Row],[Age]]&gt;60,"Senior")</f>
        <v>Middle Age</v>
      </c>
      <c r="Q246" t="str" cm="1">
        <f t="array" ref="Q2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46">
        <f>YEAR(Hospital_Patient[[#This Row],[Discharge_Date]])</f>
        <v>2025</v>
      </c>
    </row>
    <row r="247" spans="1:18" x14ac:dyDescent="0.25">
      <c r="A247">
        <v>352</v>
      </c>
      <c r="B247">
        <v>35</v>
      </c>
      <c r="C247" t="s">
        <v>15</v>
      </c>
      <c r="D247" t="s">
        <v>54</v>
      </c>
      <c r="E247" t="s">
        <v>55</v>
      </c>
      <c r="F247" s="5">
        <v>45643</v>
      </c>
      <c r="G247" s="5">
        <v>45669</v>
      </c>
      <c r="H247" t="s">
        <v>56</v>
      </c>
      <c r="I247">
        <v>2024</v>
      </c>
      <c r="J247">
        <v>26</v>
      </c>
      <c r="K247" t="s">
        <v>19</v>
      </c>
      <c r="L247" t="s">
        <v>20</v>
      </c>
      <c r="M247">
        <v>4</v>
      </c>
      <c r="N247" t="s">
        <v>19</v>
      </c>
      <c r="O247">
        <v>12000</v>
      </c>
      <c r="P247" t="str" cm="1">
        <f t="array" ref="P247">_xlfn.IFS(Hospital_Patient[[#This Row],[Age]]&lt;=18,"Young",Hospital_Patient[[#This Row],[Age]]&lt;=36,"Adult",Hospital_Patient[[#This Row],[Age]]&lt;=60,"Middle Age",Hospital_Patient[[#This Row],[Age]]&gt;60,"Senior")</f>
        <v>Adult</v>
      </c>
      <c r="Q247" t="str" cm="1">
        <f t="array" ref="Q2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47">
        <f>YEAR(Hospital_Patient[[#This Row],[Discharge_Date]])</f>
        <v>2025</v>
      </c>
    </row>
    <row r="248" spans="1:18" x14ac:dyDescent="0.25">
      <c r="A248">
        <v>926</v>
      </c>
      <c r="B248">
        <v>52</v>
      </c>
      <c r="C248" t="s">
        <v>15</v>
      </c>
      <c r="D248" t="s">
        <v>49</v>
      </c>
      <c r="E248" t="s">
        <v>50</v>
      </c>
      <c r="F248" s="5">
        <v>45603</v>
      </c>
      <c r="G248" s="5">
        <v>45667</v>
      </c>
      <c r="H248" t="s">
        <v>51</v>
      </c>
      <c r="I248">
        <v>2024</v>
      </c>
      <c r="J248">
        <v>64</v>
      </c>
      <c r="K248" t="s">
        <v>19</v>
      </c>
      <c r="L248" t="s">
        <v>26</v>
      </c>
      <c r="M248">
        <v>4</v>
      </c>
      <c r="N248" t="s">
        <v>19</v>
      </c>
      <c r="O248">
        <v>800</v>
      </c>
      <c r="P248" t="str" cm="1">
        <f t="array" ref="P248">_xlfn.IFS(Hospital_Patient[[#This Row],[Age]]&lt;=18,"Young",Hospital_Patient[[#This Row],[Age]]&lt;=36,"Adult",Hospital_Patient[[#This Row],[Age]]&lt;=60,"Middle Age",Hospital_Patient[[#This Row],[Age]]&gt;60,"Senior")</f>
        <v>Middle Age</v>
      </c>
      <c r="Q248" t="str" cm="1">
        <f t="array" ref="Q2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48">
        <f>YEAR(Hospital_Patient[[#This Row],[Discharge_Date]])</f>
        <v>2025</v>
      </c>
    </row>
    <row r="249" spans="1:18" hidden="1" x14ac:dyDescent="0.25">
      <c r="A249">
        <v>637</v>
      </c>
      <c r="B249">
        <v>62</v>
      </c>
      <c r="C249" t="s">
        <v>22</v>
      </c>
      <c r="D249" t="s">
        <v>23</v>
      </c>
      <c r="E249" t="s">
        <v>24</v>
      </c>
      <c r="F249" s="5">
        <v>45619</v>
      </c>
      <c r="G249" s="5">
        <v>45665</v>
      </c>
      <c r="H249" t="s">
        <v>25</v>
      </c>
      <c r="I249">
        <v>2024</v>
      </c>
      <c r="J249">
        <v>46</v>
      </c>
      <c r="K249" t="s">
        <v>19</v>
      </c>
      <c r="L249" t="s">
        <v>26</v>
      </c>
      <c r="M249">
        <v>4</v>
      </c>
      <c r="N249" t="s">
        <v>21</v>
      </c>
      <c r="O249">
        <v>2000</v>
      </c>
      <c r="P249" t="str" cm="1">
        <f t="array" ref="P249">_xlfn.IFS(Hospital_Patient[[#This Row],[Age]]&lt;=18,"Young",Hospital_Patient[[#This Row],[Age]]&lt;=36,"Adult",Hospital_Patient[[#This Row],[Age]]&lt;=60,"Middle Age",Hospital_Patient[[#This Row],[Age]]&gt;60,"Senior")</f>
        <v>Senior</v>
      </c>
      <c r="Q249" t="str" cm="1">
        <f t="array" ref="Q2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49">
        <f>YEAR(Hospital_Patient[[#This Row],[Discharge_Date]])</f>
        <v>2025</v>
      </c>
    </row>
    <row r="250" spans="1:18" hidden="1" x14ac:dyDescent="0.25">
      <c r="A250">
        <v>135</v>
      </c>
      <c r="B250">
        <v>62</v>
      </c>
      <c r="C250" t="s">
        <v>22</v>
      </c>
      <c r="D250" t="s">
        <v>23</v>
      </c>
      <c r="E250" t="s">
        <v>24</v>
      </c>
      <c r="F250" s="5">
        <v>45651</v>
      </c>
      <c r="G250" s="5">
        <v>45663</v>
      </c>
      <c r="H250" t="s">
        <v>25</v>
      </c>
      <c r="I250">
        <v>2024</v>
      </c>
      <c r="J250">
        <v>12</v>
      </c>
      <c r="K250" t="s">
        <v>19</v>
      </c>
      <c r="L250" t="s">
        <v>26</v>
      </c>
      <c r="M250">
        <v>4</v>
      </c>
      <c r="N250" t="s">
        <v>19</v>
      </c>
      <c r="O250">
        <v>2000</v>
      </c>
      <c r="P250" t="str" cm="1">
        <f t="array" ref="P250">_xlfn.IFS(Hospital_Patient[[#This Row],[Age]]&lt;=18,"Young",Hospital_Patient[[#This Row],[Age]]&lt;=36,"Adult",Hospital_Patient[[#This Row],[Age]]&lt;=60,"Middle Age",Hospital_Patient[[#This Row],[Age]]&gt;60,"Senior")</f>
        <v>Senior</v>
      </c>
      <c r="Q250" t="str" cm="1">
        <f t="array" ref="Q2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50">
        <f>YEAR(Hospital_Patient[[#This Row],[Discharge_Date]])</f>
        <v>2025</v>
      </c>
    </row>
    <row r="251" spans="1:18" x14ac:dyDescent="0.25">
      <c r="A251">
        <v>3</v>
      </c>
      <c r="B251">
        <v>32</v>
      </c>
      <c r="C251" t="s">
        <v>15</v>
      </c>
      <c r="D251" t="s">
        <v>27</v>
      </c>
      <c r="E251" t="s">
        <v>28</v>
      </c>
      <c r="F251" s="5">
        <v>45659</v>
      </c>
      <c r="G251" s="5">
        <v>45660</v>
      </c>
      <c r="H251" t="s">
        <v>29</v>
      </c>
      <c r="I251">
        <v>2025</v>
      </c>
      <c r="J251">
        <v>1</v>
      </c>
      <c r="K251" t="s">
        <v>19</v>
      </c>
      <c r="L251" t="s">
        <v>20</v>
      </c>
      <c r="M251">
        <v>5</v>
      </c>
      <c r="N251" t="s">
        <v>21</v>
      </c>
      <c r="O251">
        <v>500</v>
      </c>
      <c r="P251" t="str" cm="1">
        <f t="array" ref="P251">_xlfn.IFS(Hospital_Patient[[#This Row],[Age]]&lt;=18,"Young",Hospital_Patient[[#This Row],[Age]]&lt;=36,"Adult",Hospital_Patient[[#This Row],[Age]]&lt;=60,"Middle Age",Hospital_Patient[[#This Row],[Age]]&gt;60,"Senior")</f>
        <v>Adult</v>
      </c>
      <c r="Q251" t="str" cm="1">
        <f t="array" ref="Q2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251">
        <f>YEAR(Hospital_Patient[[#This Row],[Discharge_Date]])</f>
        <v>2025</v>
      </c>
    </row>
    <row r="252" spans="1:18" x14ac:dyDescent="0.25">
      <c r="A252">
        <v>400</v>
      </c>
      <c r="B252">
        <v>55</v>
      </c>
      <c r="C252" t="s">
        <v>15</v>
      </c>
      <c r="D252" t="s">
        <v>16</v>
      </c>
      <c r="E252" t="s">
        <v>17</v>
      </c>
      <c r="F252" s="5">
        <v>45625</v>
      </c>
      <c r="G252" s="5">
        <v>45657</v>
      </c>
      <c r="H252" t="s">
        <v>69</v>
      </c>
      <c r="I252">
        <v>2024</v>
      </c>
      <c r="J252">
        <v>32</v>
      </c>
      <c r="K252" t="s">
        <v>21</v>
      </c>
      <c r="L252" t="s">
        <v>20</v>
      </c>
      <c r="M252">
        <v>3</v>
      </c>
      <c r="N252" t="s">
        <v>19</v>
      </c>
      <c r="O252">
        <v>15000</v>
      </c>
      <c r="P252" t="str" cm="1">
        <f t="array" ref="P252">_xlfn.IFS(Hospital_Patient[[#This Row],[Age]]&lt;=18,"Young",Hospital_Patient[[#This Row],[Age]]&lt;=36,"Adult",Hospital_Patient[[#This Row],[Age]]&lt;=60,"Middle Age",Hospital_Patient[[#This Row],[Age]]&gt;60,"Senior")</f>
        <v>Middle Age</v>
      </c>
      <c r="Q252" t="str" cm="1">
        <f t="array" ref="Q2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52">
        <f>YEAR(Hospital_Patient[[#This Row],[Discharge_Date]])</f>
        <v>2024</v>
      </c>
    </row>
    <row r="253" spans="1:18" hidden="1" x14ac:dyDescent="0.25">
      <c r="A253">
        <v>976</v>
      </c>
      <c r="B253">
        <v>65</v>
      </c>
      <c r="C253" t="s">
        <v>22</v>
      </c>
      <c r="D253" t="s">
        <v>23</v>
      </c>
      <c r="E253" t="s">
        <v>24</v>
      </c>
      <c r="F253" s="5">
        <v>45587</v>
      </c>
      <c r="G253" s="5">
        <v>45656</v>
      </c>
      <c r="H253" t="s">
        <v>18</v>
      </c>
      <c r="I253">
        <v>2024</v>
      </c>
      <c r="J253">
        <v>69</v>
      </c>
      <c r="K253" t="s">
        <v>19</v>
      </c>
      <c r="L253" t="s">
        <v>26</v>
      </c>
      <c r="M253">
        <v>3</v>
      </c>
      <c r="N253" t="s">
        <v>19</v>
      </c>
      <c r="O253">
        <v>2000</v>
      </c>
      <c r="P253" t="str" cm="1">
        <f t="array" ref="P253">_xlfn.IFS(Hospital_Patient[[#This Row],[Age]]&lt;=18,"Young",Hospital_Patient[[#This Row],[Age]]&lt;=36,"Adult",Hospital_Patient[[#This Row],[Age]]&lt;=60,"Middle Age",Hospital_Patient[[#This Row],[Age]]&gt;60,"Senior")</f>
        <v>Senior</v>
      </c>
      <c r="Q253" t="str" cm="1">
        <f t="array" ref="Q2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53">
        <f>YEAR(Hospital_Patient[[#This Row],[Discharge_Date]])</f>
        <v>2024</v>
      </c>
    </row>
    <row r="254" spans="1:18" hidden="1" x14ac:dyDescent="0.25">
      <c r="A254">
        <v>556</v>
      </c>
      <c r="B254">
        <v>28</v>
      </c>
      <c r="C254" t="s">
        <v>22</v>
      </c>
      <c r="D254" t="s">
        <v>47</v>
      </c>
      <c r="E254" t="s">
        <v>48</v>
      </c>
      <c r="F254" s="5">
        <v>45617</v>
      </c>
      <c r="G254" s="5">
        <v>45655</v>
      </c>
      <c r="H254" t="s">
        <v>74</v>
      </c>
      <c r="I254">
        <v>2024</v>
      </c>
      <c r="J254">
        <v>38</v>
      </c>
      <c r="K254" t="s">
        <v>19</v>
      </c>
      <c r="L254" t="s">
        <v>20</v>
      </c>
      <c r="M254">
        <v>5</v>
      </c>
      <c r="N254" t="s">
        <v>21</v>
      </c>
      <c r="O254">
        <v>100</v>
      </c>
      <c r="P254" t="str" cm="1">
        <f t="array" ref="P254">_xlfn.IFS(Hospital_Patient[[#This Row],[Age]]&lt;=18,"Young",Hospital_Patient[[#This Row],[Age]]&lt;=36,"Adult",Hospital_Patient[[#This Row],[Age]]&lt;=60,"Middle Age",Hospital_Patient[[#This Row],[Age]]&gt;60,"Senior")</f>
        <v>Adult</v>
      </c>
      <c r="Q254" t="str" cm="1">
        <f t="array" ref="Q2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54">
        <f>YEAR(Hospital_Patient[[#This Row],[Discharge_Date]])</f>
        <v>2024</v>
      </c>
    </row>
    <row r="255" spans="1:18" hidden="1" x14ac:dyDescent="0.25">
      <c r="A255">
        <v>198</v>
      </c>
      <c r="B255">
        <v>72</v>
      </c>
      <c r="C255" t="s">
        <v>22</v>
      </c>
      <c r="D255" t="s">
        <v>36</v>
      </c>
      <c r="E255" t="s">
        <v>37</v>
      </c>
      <c r="F255" s="5">
        <v>45638</v>
      </c>
      <c r="G255" s="5">
        <v>45653</v>
      </c>
      <c r="H255" t="s">
        <v>69</v>
      </c>
      <c r="I255">
        <v>2024</v>
      </c>
      <c r="J255">
        <v>15</v>
      </c>
      <c r="K255" t="s">
        <v>19</v>
      </c>
      <c r="L255" t="s">
        <v>26</v>
      </c>
      <c r="M255">
        <v>4</v>
      </c>
      <c r="N255" t="s">
        <v>19</v>
      </c>
      <c r="O255">
        <v>1000</v>
      </c>
      <c r="P255" t="str" cm="1">
        <f t="array" ref="P255">_xlfn.IFS(Hospital_Patient[[#This Row],[Age]]&lt;=18,"Young",Hospital_Patient[[#This Row],[Age]]&lt;=36,"Adult",Hospital_Patient[[#This Row],[Age]]&lt;=60,"Middle Age",Hospital_Patient[[#This Row],[Age]]&gt;60,"Senior")</f>
        <v>Senior</v>
      </c>
      <c r="Q255" t="str" cm="1">
        <f t="array" ref="Q2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55">
        <f>YEAR(Hospital_Patient[[#This Row],[Discharge_Date]])</f>
        <v>2024</v>
      </c>
    </row>
    <row r="256" spans="1:18" x14ac:dyDescent="0.25">
      <c r="A256">
        <v>90</v>
      </c>
      <c r="B256">
        <v>48</v>
      </c>
      <c r="C256" t="s">
        <v>15</v>
      </c>
      <c r="D256" t="s">
        <v>16</v>
      </c>
      <c r="E256" t="s">
        <v>17</v>
      </c>
      <c r="F256" s="5">
        <v>45638</v>
      </c>
      <c r="G256" s="5">
        <v>45649</v>
      </c>
      <c r="H256" t="s">
        <v>18</v>
      </c>
      <c r="I256">
        <v>2024</v>
      </c>
      <c r="J256">
        <v>11</v>
      </c>
      <c r="K256" t="s">
        <v>21</v>
      </c>
      <c r="L256" t="s">
        <v>20</v>
      </c>
      <c r="M256">
        <v>4</v>
      </c>
      <c r="N256" t="s">
        <v>21</v>
      </c>
      <c r="O256">
        <v>15000</v>
      </c>
      <c r="P256" t="str" cm="1">
        <f t="array" ref="P256">_xlfn.IFS(Hospital_Patient[[#This Row],[Age]]&lt;=18,"Young",Hospital_Patient[[#This Row],[Age]]&lt;=36,"Adult",Hospital_Patient[[#This Row],[Age]]&lt;=60,"Middle Age",Hospital_Patient[[#This Row],[Age]]&gt;60,"Senior")</f>
        <v>Middle Age</v>
      </c>
      <c r="Q256" t="str" cm="1">
        <f t="array" ref="Q2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56">
        <f>YEAR(Hospital_Patient[[#This Row],[Discharge_Date]])</f>
        <v>2024</v>
      </c>
    </row>
    <row r="257" spans="1:18" hidden="1" x14ac:dyDescent="0.25">
      <c r="A257">
        <v>834</v>
      </c>
      <c r="B257">
        <v>40</v>
      </c>
      <c r="C257" t="s">
        <v>22</v>
      </c>
      <c r="D257" t="s">
        <v>42</v>
      </c>
      <c r="E257" t="s">
        <v>43</v>
      </c>
      <c r="F257" s="5">
        <v>45587</v>
      </c>
      <c r="G257" s="5">
        <v>45649</v>
      </c>
      <c r="H257" t="s">
        <v>70</v>
      </c>
      <c r="I257">
        <v>2024</v>
      </c>
      <c r="J257">
        <v>62</v>
      </c>
      <c r="K257" t="s">
        <v>19</v>
      </c>
      <c r="L257" t="s">
        <v>20</v>
      </c>
      <c r="M257">
        <v>4</v>
      </c>
      <c r="N257" t="s">
        <v>19</v>
      </c>
      <c r="O257">
        <v>3000</v>
      </c>
      <c r="P257" t="str" cm="1">
        <f t="array" ref="P257">_xlfn.IFS(Hospital_Patient[[#This Row],[Age]]&lt;=18,"Young",Hospital_Patient[[#This Row],[Age]]&lt;=36,"Adult",Hospital_Patient[[#This Row],[Age]]&lt;=60,"Middle Age",Hospital_Patient[[#This Row],[Age]]&gt;60,"Senior")</f>
        <v>Middle Age</v>
      </c>
      <c r="Q257" t="str" cm="1">
        <f t="array" ref="Q2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57">
        <f>YEAR(Hospital_Patient[[#This Row],[Discharge_Date]])</f>
        <v>2024</v>
      </c>
    </row>
    <row r="258" spans="1:18" hidden="1" x14ac:dyDescent="0.25">
      <c r="A258">
        <v>921</v>
      </c>
      <c r="B258">
        <v>68</v>
      </c>
      <c r="C258" t="s">
        <v>22</v>
      </c>
      <c r="D258" t="s">
        <v>36</v>
      </c>
      <c r="E258" t="s">
        <v>37</v>
      </c>
      <c r="F258" s="5">
        <v>45581</v>
      </c>
      <c r="G258" s="5">
        <v>45647</v>
      </c>
      <c r="H258" t="s">
        <v>25</v>
      </c>
      <c r="I258">
        <v>2024</v>
      </c>
      <c r="J258">
        <v>66</v>
      </c>
      <c r="K258" t="s">
        <v>19</v>
      </c>
      <c r="L258" t="s">
        <v>26</v>
      </c>
      <c r="M258">
        <v>4</v>
      </c>
      <c r="N258" t="s">
        <v>19</v>
      </c>
      <c r="O258">
        <v>1000</v>
      </c>
      <c r="P258" t="str" cm="1">
        <f t="array" ref="P258">_xlfn.IFS(Hospital_Patient[[#This Row],[Age]]&lt;=18,"Young",Hospital_Patient[[#This Row],[Age]]&lt;=36,"Adult",Hospital_Patient[[#This Row],[Age]]&lt;=60,"Middle Age",Hospital_Patient[[#This Row],[Age]]&gt;60,"Senior")</f>
        <v>Senior</v>
      </c>
      <c r="Q258" t="str" cm="1">
        <f t="array" ref="Q2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58">
        <f>YEAR(Hospital_Patient[[#This Row],[Discharge_Date]])</f>
        <v>2024</v>
      </c>
    </row>
    <row r="259" spans="1:18" x14ac:dyDescent="0.25">
      <c r="A259">
        <v>603</v>
      </c>
      <c r="B259">
        <v>32</v>
      </c>
      <c r="C259" t="s">
        <v>15</v>
      </c>
      <c r="D259" t="s">
        <v>54</v>
      </c>
      <c r="E259" t="s">
        <v>55</v>
      </c>
      <c r="F259" s="5">
        <v>45603</v>
      </c>
      <c r="G259" s="5">
        <v>45646</v>
      </c>
      <c r="H259" t="s">
        <v>56</v>
      </c>
      <c r="I259">
        <v>2024</v>
      </c>
      <c r="J259">
        <v>43</v>
      </c>
      <c r="K259" t="s">
        <v>19</v>
      </c>
      <c r="L259" t="s">
        <v>20</v>
      </c>
      <c r="M259">
        <v>4</v>
      </c>
      <c r="N259" t="s">
        <v>19</v>
      </c>
      <c r="O259">
        <v>12000</v>
      </c>
      <c r="P259" t="str" cm="1">
        <f t="array" ref="P259">_xlfn.IFS(Hospital_Patient[[#This Row],[Age]]&lt;=18,"Young",Hospital_Patient[[#This Row],[Age]]&lt;=36,"Adult",Hospital_Patient[[#This Row],[Age]]&lt;=60,"Middle Age",Hospital_Patient[[#This Row],[Age]]&gt;60,"Senior")</f>
        <v>Adult</v>
      </c>
      <c r="Q259" t="str" cm="1">
        <f t="array" ref="Q2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59">
        <f>YEAR(Hospital_Patient[[#This Row],[Discharge_Date]])</f>
        <v>2024</v>
      </c>
    </row>
    <row r="260" spans="1:18" hidden="1" x14ac:dyDescent="0.25">
      <c r="A260">
        <v>588</v>
      </c>
      <c r="B260">
        <v>67</v>
      </c>
      <c r="C260" t="s">
        <v>22</v>
      </c>
      <c r="D260" t="s">
        <v>52</v>
      </c>
      <c r="E260" t="s">
        <v>53</v>
      </c>
      <c r="F260" s="5">
        <v>45597</v>
      </c>
      <c r="G260" s="5">
        <v>45645</v>
      </c>
      <c r="H260" t="s">
        <v>41</v>
      </c>
      <c r="I260">
        <v>2024</v>
      </c>
      <c r="J260">
        <v>48</v>
      </c>
      <c r="K260" t="s">
        <v>19</v>
      </c>
      <c r="L260" t="s">
        <v>20</v>
      </c>
      <c r="M260">
        <v>3</v>
      </c>
      <c r="N260" t="s">
        <v>19</v>
      </c>
      <c r="O260">
        <v>20000</v>
      </c>
      <c r="P260" t="str" cm="1">
        <f t="array" ref="P260">_xlfn.IFS(Hospital_Patient[[#This Row],[Age]]&lt;=18,"Young",Hospital_Patient[[#This Row],[Age]]&lt;=36,"Adult",Hospital_Patient[[#This Row],[Age]]&lt;=60,"Middle Age",Hospital_Patient[[#This Row],[Age]]&gt;60,"Senior")</f>
        <v>Senior</v>
      </c>
      <c r="Q260" t="str" cm="1">
        <f t="array" ref="Q2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60">
        <f>YEAR(Hospital_Patient[[#This Row],[Discharge_Date]])</f>
        <v>2024</v>
      </c>
    </row>
    <row r="261" spans="1:18" x14ac:dyDescent="0.25">
      <c r="A261">
        <v>180</v>
      </c>
      <c r="B261">
        <v>30</v>
      </c>
      <c r="C261" t="s">
        <v>15</v>
      </c>
      <c r="D261" t="s">
        <v>27</v>
      </c>
      <c r="E261" t="s">
        <v>28</v>
      </c>
      <c r="F261" s="5">
        <v>45631</v>
      </c>
      <c r="G261" s="5">
        <v>45644</v>
      </c>
      <c r="H261" t="s">
        <v>70</v>
      </c>
      <c r="I261">
        <v>2024</v>
      </c>
      <c r="J261">
        <v>13</v>
      </c>
      <c r="K261" t="s">
        <v>19</v>
      </c>
      <c r="L261" t="s">
        <v>20</v>
      </c>
      <c r="M261">
        <v>5</v>
      </c>
      <c r="N261" t="s">
        <v>19</v>
      </c>
      <c r="O261">
        <v>500</v>
      </c>
      <c r="P261" t="str" cm="1">
        <f t="array" ref="P261">_xlfn.IFS(Hospital_Patient[[#This Row],[Age]]&lt;=18,"Young",Hospital_Patient[[#This Row],[Age]]&lt;=36,"Adult",Hospital_Patient[[#This Row],[Age]]&lt;=60,"Middle Age",Hospital_Patient[[#This Row],[Age]]&gt;60,"Senior")</f>
        <v>Adult</v>
      </c>
      <c r="Q261" t="str" cm="1">
        <f t="array" ref="Q2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61">
        <f>YEAR(Hospital_Patient[[#This Row],[Discharge_Date]])</f>
        <v>2024</v>
      </c>
    </row>
    <row r="262" spans="1:18" x14ac:dyDescent="0.25">
      <c r="A262">
        <v>166</v>
      </c>
      <c r="B262">
        <v>35</v>
      </c>
      <c r="C262" t="s">
        <v>15</v>
      </c>
      <c r="D262" t="s">
        <v>27</v>
      </c>
      <c r="E262" t="s">
        <v>28</v>
      </c>
      <c r="F262" s="5">
        <v>45631</v>
      </c>
      <c r="G262" s="5">
        <v>45643</v>
      </c>
      <c r="H262" t="s">
        <v>70</v>
      </c>
      <c r="I262">
        <v>2024</v>
      </c>
      <c r="J262">
        <v>12</v>
      </c>
      <c r="K262" t="s">
        <v>21</v>
      </c>
      <c r="L262" t="s">
        <v>20</v>
      </c>
      <c r="M262">
        <v>5</v>
      </c>
      <c r="N262" t="s">
        <v>19</v>
      </c>
      <c r="O262">
        <v>500</v>
      </c>
      <c r="P262" t="str" cm="1">
        <f t="array" ref="P262">_xlfn.IFS(Hospital_Patient[[#This Row],[Age]]&lt;=18,"Young",Hospital_Patient[[#This Row],[Age]]&lt;=36,"Adult",Hospital_Patient[[#This Row],[Age]]&lt;=60,"Middle Age",Hospital_Patient[[#This Row],[Age]]&gt;60,"Senior")</f>
        <v>Adult</v>
      </c>
      <c r="Q262" t="str" cm="1">
        <f t="array" ref="Q2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62">
        <f>YEAR(Hospital_Patient[[#This Row],[Discharge_Date]])</f>
        <v>2024</v>
      </c>
    </row>
    <row r="263" spans="1:18" x14ac:dyDescent="0.25">
      <c r="A263">
        <v>959</v>
      </c>
      <c r="B263">
        <v>65</v>
      </c>
      <c r="C263" t="s">
        <v>15</v>
      </c>
      <c r="D263" t="s">
        <v>59</v>
      </c>
      <c r="E263" t="s">
        <v>60</v>
      </c>
      <c r="F263" s="5">
        <v>45574</v>
      </c>
      <c r="G263" s="5">
        <v>45643</v>
      </c>
      <c r="H263" t="s">
        <v>61</v>
      </c>
      <c r="I263">
        <v>2024</v>
      </c>
      <c r="J263">
        <v>69</v>
      </c>
      <c r="K263" t="s">
        <v>19</v>
      </c>
      <c r="L263" t="s">
        <v>26</v>
      </c>
      <c r="M263">
        <v>4</v>
      </c>
      <c r="N263" t="s">
        <v>19</v>
      </c>
      <c r="O263">
        <v>4000</v>
      </c>
      <c r="P263" t="str" cm="1">
        <f t="array" ref="P263">_xlfn.IFS(Hospital_Patient[[#This Row],[Age]]&lt;=18,"Young",Hospital_Patient[[#This Row],[Age]]&lt;=36,"Adult",Hospital_Patient[[#This Row],[Age]]&lt;=60,"Middle Age",Hospital_Patient[[#This Row],[Age]]&gt;60,"Senior")</f>
        <v>Senior</v>
      </c>
      <c r="Q263" t="str" cm="1">
        <f t="array" ref="Q2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63">
        <f>YEAR(Hospital_Patient[[#This Row],[Discharge_Date]])</f>
        <v>2024</v>
      </c>
    </row>
    <row r="264" spans="1:18" hidden="1" x14ac:dyDescent="0.25">
      <c r="A264">
        <v>453</v>
      </c>
      <c r="B264">
        <v>25</v>
      </c>
      <c r="C264" t="s">
        <v>22</v>
      </c>
      <c r="D264" t="s">
        <v>47</v>
      </c>
      <c r="E264" t="s">
        <v>48</v>
      </c>
      <c r="F264" s="5">
        <v>45610</v>
      </c>
      <c r="G264" s="5">
        <v>45641</v>
      </c>
      <c r="H264" t="s">
        <v>18</v>
      </c>
      <c r="I264">
        <v>2024</v>
      </c>
      <c r="J264">
        <v>31</v>
      </c>
      <c r="K264" t="s">
        <v>19</v>
      </c>
      <c r="L264" t="s">
        <v>20</v>
      </c>
      <c r="M264">
        <v>5</v>
      </c>
      <c r="N264" t="s">
        <v>21</v>
      </c>
      <c r="O264">
        <v>100</v>
      </c>
      <c r="P264" t="str" cm="1">
        <f t="array" ref="P264">_xlfn.IFS(Hospital_Patient[[#This Row],[Age]]&lt;=18,"Young",Hospital_Patient[[#This Row],[Age]]&lt;=36,"Adult",Hospital_Patient[[#This Row],[Age]]&lt;=60,"Middle Age",Hospital_Patient[[#This Row],[Age]]&gt;60,"Senior")</f>
        <v>Adult</v>
      </c>
      <c r="Q264" t="str" cm="1">
        <f t="array" ref="Q2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64">
        <f>YEAR(Hospital_Patient[[#This Row],[Discharge_Date]])</f>
        <v>2024</v>
      </c>
    </row>
    <row r="265" spans="1:18" x14ac:dyDescent="0.25">
      <c r="A265">
        <v>813</v>
      </c>
      <c r="B265">
        <v>55</v>
      </c>
      <c r="C265" t="s">
        <v>15</v>
      </c>
      <c r="D265" t="s">
        <v>16</v>
      </c>
      <c r="E265" t="s">
        <v>17</v>
      </c>
      <c r="F265" s="5">
        <v>45581</v>
      </c>
      <c r="G265" s="5">
        <v>45641</v>
      </c>
      <c r="H265" t="s">
        <v>69</v>
      </c>
      <c r="I265">
        <v>2024</v>
      </c>
      <c r="J265">
        <v>60</v>
      </c>
      <c r="K265" t="s">
        <v>21</v>
      </c>
      <c r="L265" t="s">
        <v>20</v>
      </c>
      <c r="M265">
        <v>3</v>
      </c>
      <c r="N265" t="s">
        <v>19</v>
      </c>
      <c r="O265">
        <v>15000</v>
      </c>
      <c r="P265" t="str" cm="1">
        <f t="array" ref="P265">_xlfn.IFS(Hospital_Patient[[#This Row],[Age]]&lt;=18,"Young",Hospital_Patient[[#This Row],[Age]]&lt;=36,"Adult",Hospital_Patient[[#This Row],[Age]]&lt;=60,"Middle Age",Hospital_Patient[[#This Row],[Age]]&gt;60,"Senior")</f>
        <v>Middle Age</v>
      </c>
      <c r="Q265" t="str" cm="1">
        <f t="array" ref="Q2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65">
        <f>YEAR(Hospital_Patient[[#This Row],[Discharge_Date]])</f>
        <v>2024</v>
      </c>
    </row>
    <row r="266" spans="1:18" x14ac:dyDescent="0.25">
      <c r="A266">
        <v>610</v>
      </c>
      <c r="B266">
        <v>53</v>
      </c>
      <c r="C266" t="s">
        <v>15</v>
      </c>
      <c r="D266" t="s">
        <v>33</v>
      </c>
      <c r="E266" t="s">
        <v>34</v>
      </c>
      <c r="F266" s="5">
        <v>45588</v>
      </c>
      <c r="G266" s="5">
        <v>45639</v>
      </c>
      <c r="H266" t="s">
        <v>35</v>
      </c>
      <c r="I266">
        <v>2024</v>
      </c>
      <c r="J266">
        <v>51</v>
      </c>
      <c r="K266" t="s">
        <v>21</v>
      </c>
      <c r="L266" t="s">
        <v>20</v>
      </c>
      <c r="M266">
        <v>4</v>
      </c>
      <c r="N266" t="s">
        <v>19</v>
      </c>
      <c r="O266">
        <v>25000</v>
      </c>
      <c r="P266" t="str" cm="1">
        <f t="array" ref="P266">_xlfn.IFS(Hospital_Patient[[#This Row],[Age]]&lt;=18,"Young",Hospital_Patient[[#This Row],[Age]]&lt;=36,"Adult",Hospital_Patient[[#This Row],[Age]]&lt;=60,"Middle Age",Hospital_Patient[[#This Row],[Age]]&gt;60,"Senior")</f>
        <v>Middle Age</v>
      </c>
      <c r="Q266" t="str" cm="1">
        <f t="array" ref="Q2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66">
        <f>YEAR(Hospital_Patient[[#This Row],[Discharge_Date]])</f>
        <v>2024</v>
      </c>
    </row>
    <row r="267" spans="1:18" x14ac:dyDescent="0.25">
      <c r="A267">
        <v>134</v>
      </c>
      <c r="B267">
        <v>55</v>
      </c>
      <c r="C267" t="s">
        <v>15</v>
      </c>
      <c r="D267" t="s">
        <v>16</v>
      </c>
      <c r="E267" t="s">
        <v>17</v>
      </c>
      <c r="F267" s="5">
        <v>45624</v>
      </c>
      <c r="G267" s="5">
        <v>45638</v>
      </c>
      <c r="H267" t="s">
        <v>73</v>
      </c>
      <c r="I267">
        <v>2024</v>
      </c>
      <c r="J267">
        <v>14</v>
      </c>
      <c r="K267" t="s">
        <v>21</v>
      </c>
      <c r="L267" t="s">
        <v>20</v>
      </c>
      <c r="M267">
        <v>3</v>
      </c>
      <c r="N267" t="s">
        <v>19</v>
      </c>
      <c r="O267">
        <v>15000</v>
      </c>
      <c r="P267" t="str" cm="1">
        <f t="array" ref="P267">_xlfn.IFS(Hospital_Patient[[#This Row],[Age]]&lt;=18,"Young",Hospital_Patient[[#This Row],[Age]]&lt;=36,"Adult",Hospital_Patient[[#This Row],[Age]]&lt;=60,"Middle Age",Hospital_Patient[[#This Row],[Age]]&gt;60,"Senior")</f>
        <v>Middle Age</v>
      </c>
      <c r="Q267" t="str" cm="1">
        <f t="array" ref="Q2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67">
        <f>YEAR(Hospital_Patient[[#This Row],[Discharge_Date]])</f>
        <v>2024</v>
      </c>
    </row>
    <row r="268" spans="1:18" x14ac:dyDescent="0.25">
      <c r="A268">
        <v>340</v>
      </c>
      <c r="B268">
        <v>65</v>
      </c>
      <c r="C268" t="s">
        <v>15</v>
      </c>
      <c r="D268" t="s">
        <v>59</v>
      </c>
      <c r="E268" t="s">
        <v>60</v>
      </c>
      <c r="F268" s="5">
        <v>45611</v>
      </c>
      <c r="G268" s="5">
        <v>45638</v>
      </c>
      <c r="H268" t="s">
        <v>73</v>
      </c>
      <c r="I268">
        <v>2024</v>
      </c>
      <c r="J268">
        <v>27</v>
      </c>
      <c r="K268" t="s">
        <v>19</v>
      </c>
      <c r="L268" t="s">
        <v>26</v>
      </c>
      <c r="M268">
        <v>4</v>
      </c>
      <c r="N268" t="s">
        <v>19</v>
      </c>
      <c r="O268">
        <v>4000</v>
      </c>
      <c r="P268" t="str" cm="1">
        <f t="array" ref="P268">_xlfn.IFS(Hospital_Patient[[#This Row],[Age]]&lt;=18,"Young",Hospital_Patient[[#This Row],[Age]]&lt;=36,"Adult",Hospital_Patient[[#This Row],[Age]]&lt;=60,"Middle Age",Hospital_Patient[[#This Row],[Age]]&gt;60,"Senior")</f>
        <v>Senior</v>
      </c>
      <c r="Q268" t="str" cm="1">
        <f t="array" ref="Q2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68">
        <f>YEAR(Hospital_Patient[[#This Row],[Discharge_Date]])</f>
        <v>2024</v>
      </c>
    </row>
    <row r="269" spans="1:18" x14ac:dyDescent="0.25">
      <c r="A269">
        <v>771</v>
      </c>
      <c r="B269">
        <v>30</v>
      </c>
      <c r="C269" t="s">
        <v>15</v>
      </c>
      <c r="D269" t="s">
        <v>27</v>
      </c>
      <c r="E269" t="s">
        <v>28</v>
      </c>
      <c r="F269" s="5">
        <v>45583</v>
      </c>
      <c r="G269" s="5">
        <v>45636</v>
      </c>
      <c r="H269" t="s">
        <v>29</v>
      </c>
      <c r="I269">
        <v>2024</v>
      </c>
      <c r="J269">
        <v>53</v>
      </c>
      <c r="K269" t="s">
        <v>19</v>
      </c>
      <c r="L269" t="s">
        <v>20</v>
      </c>
      <c r="M269">
        <v>5</v>
      </c>
      <c r="N269" t="s">
        <v>19</v>
      </c>
      <c r="O269">
        <v>500</v>
      </c>
      <c r="P269" t="str" cm="1">
        <f t="array" ref="P269">_xlfn.IFS(Hospital_Patient[[#This Row],[Age]]&lt;=18,"Young",Hospital_Patient[[#This Row],[Age]]&lt;=36,"Adult",Hospital_Patient[[#This Row],[Age]]&lt;=60,"Middle Age",Hospital_Patient[[#This Row],[Age]]&gt;60,"Senior")</f>
        <v>Adult</v>
      </c>
      <c r="Q269" t="str" cm="1">
        <f t="array" ref="Q2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69">
        <f>YEAR(Hospital_Patient[[#This Row],[Discharge_Date]])</f>
        <v>2024</v>
      </c>
    </row>
    <row r="270" spans="1:18" x14ac:dyDescent="0.25">
      <c r="A270">
        <v>452</v>
      </c>
      <c r="B270">
        <v>78</v>
      </c>
      <c r="C270" t="s">
        <v>15</v>
      </c>
      <c r="D270" t="s">
        <v>45</v>
      </c>
      <c r="E270" t="s">
        <v>46</v>
      </c>
      <c r="F270" s="5">
        <v>45596</v>
      </c>
      <c r="G270" s="5">
        <v>45634</v>
      </c>
      <c r="H270" t="s">
        <v>18</v>
      </c>
      <c r="I270">
        <v>2024</v>
      </c>
      <c r="J270">
        <v>38</v>
      </c>
      <c r="K270" t="s">
        <v>21</v>
      </c>
      <c r="L270" t="s">
        <v>26</v>
      </c>
      <c r="M270">
        <v>2</v>
      </c>
      <c r="N270" t="s">
        <v>19</v>
      </c>
      <c r="O270">
        <v>18000</v>
      </c>
      <c r="P270" t="str" cm="1">
        <f t="array" ref="P270">_xlfn.IFS(Hospital_Patient[[#This Row],[Age]]&lt;=18,"Young",Hospital_Patient[[#This Row],[Age]]&lt;=36,"Adult",Hospital_Patient[[#This Row],[Age]]&lt;=60,"Middle Age",Hospital_Patient[[#This Row],[Age]]&gt;60,"Senior")</f>
        <v>Senior</v>
      </c>
      <c r="Q270" t="str" cm="1">
        <f t="array" ref="Q2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70">
        <f>YEAR(Hospital_Patient[[#This Row],[Discharge_Date]])</f>
        <v>2024</v>
      </c>
    </row>
    <row r="271" spans="1:18" x14ac:dyDescent="0.25">
      <c r="A271">
        <v>100</v>
      </c>
      <c r="B271">
        <v>52</v>
      </c>
      <c r="C271" t="s">
        <v>15</v>
      </c>
      <c r="D271" t="s">
        <v>49</v>
      </c>
      <c r="E271" t="s">
        <v>50</v>
      </c>
      <c r="F271" s="5">
        <v>45624</v>
      </c>
      <c r="G271" s="5">
        <v>45632</v>
      </c>
      <c r="H271" t="s">
        <v>66</v>
      </c>
      <c r="I271">
        <v>2024</v>
      </c>
      <c r="J271">
        <v>8</v>
      </c>
      <c r="K271" t="s">
        <v>19</v>
      </c>
      <c r="L271" t="s">
        <v>26</v>
      </c>
      <c r="M271">
        <v>4</v>
      </c>
      <c r="N271" t="s">
        <v>19</v>
      </c>
      <c r="O271">
        <v>800</v>
      </c>
      <c r="P271" t="str" cm="1">
        <f t="array" ref="P271">_xlfn.IFS(Hospital_Patient[[#This Row],[Age]]&lt;=18,"Young",Hospital_Patient[[#This Row],[Age]]&lt;=36,"Adult",Hospital_Patient[[#This Row],[Age]]&lt;=60,"Middle Age",Hospital_Patient[[#This Row],[Age]]&gt;60,"Senior")</f>
        <v>Middle Age</v>
      </c>
      <c r="Q271" t="str" cm="1">
        <f t="array" ref="Q2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71">
        <f>YEAR(Hospital_Patient[[#This Row],[Discharge_Date]])</f>
        <v>2024</v>
      </c>
    </row>
    <row r="272" spans="1:18" hidden="1" x14ac:dyDescent="0.25">
      <c r="A272">
        <v>883</v>
      </c>
      <c r="B272">
        <v>67</v>
      </c>
      <c r="C272" t="s">
        <v>22</v>
      </c>
      <c r="D272" t="s">
        <v>52</v>
      </c>
      <c r="E272" t="s">
        <v>53</v>
      </c>
      <c r="F272" s="5">
        <v>45563</v>
      </c>
      <c r="G272" s="5">
        <v>45631</v>
      </c>
      <c r="H272" t="s">
        <v>51</v>
      </c>
      <c r="I272">
        <v>2024</v>
      </c>
      <c r="J272">
        <v>68</v>
      </c>
      <c r="K272" t="s">
        <v>19</v>
      </c>
      <c r="L272" t="s">
        <v>20</v>
      </c>
      <c r="M272">
        <v>3</v>
      </c>
      <c r="N272" t="s">
        <v>19</v>
      </c>
      <c r="O272">
        <v>20000</v>
      </c>
      <c r="P272" t="str" cm="1">
        <f t="array" ref="P272">_xlfn.IFS(Hospital_Patient[[#This Row],[Age]]&lt;=18,"Young",Hospital_Patient[[#This Row],[Age]]&lt;=36,"Adult",Hospital_Patient[[#This Row],[Age]]&lt;=60,"Middle Age",Hospital_Patient[[#This Row],[Age]]&gt;60,"Senior")</f>
        <v>Senior</v>
      </c>
      <c r="Q272" t="str" cm="1">
        <f t="array" ref="Q2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72">
        <f>YEAR(Hospital_Patient[[#This Row],[Discharge_Date]])</f>
        <v>2024</v>
      </c>
    </row>
    <row r="273" spans="1:18" hidden="1" x14ac:dyDescent="0.25">
      <c r="A273">
        <v>489</v>
      </c>
      <c r="B273">
        <v>62</v>
      </c>
      <c r="C273" t="s">
        <v>22</v>
      </c>
      <c r="D273" t="s">
        <v>23</v>
      </c>
      <c r="E273" t="s">
        <v>24</v>
      </c>
      <c r="F273" s="5">
        <v>45594</v>
      </c>
      <c r="G273" s="5">
        <v>45630</v>
      </c>
      <c r="H273" t="s">
        <v>61</v>
      </c>
      <c r="I273">
        <v>2024</v>
      </c>
      <c r="J273">
        <v>36</v>
      </c>
      <c r="K273" t="s">
        <v>19</v>
      </c>
      <c r="L273" t="s">
        <v>26</v>
      </c>
      <c r="M273">
        <v>4</v>
      </c>
      <c r="N273" t="s">
        <v>19</v>
      </c>
      <c r="O273">
        <v>2000</v>
      </c>
      <c r="P273" t="str" cm="1">
        <f t="array" ref="P273">_xlfn.IFS(Hospital_Patient[[#This Row],[Age]]&lt;=18,"Young",Hospital_Patient[[#This Row],[Age]]&lt;=36,"Adult",Hospital_Patient[[#This Row],[Age]]&lt;=60,"Middle Age",Hospital_Patient[[#This Row],[Age]]&gt;60,"Senior")</f>
        <v>Senior</v>
      </c>
      <c r="Q273" t="str" cm="1">
        <f t="array" ref="Q2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73">
        <f>YEAR(Hospital_Patient[[#This Row],[Discharge_Date]])</f>
        <v>2024</v>
      </c>
    </row>
    <row r="274" spans="1:18" x14ac:dyDescent="0.25">
      <c r="A274">
        <v>258</v>
      </c>
      <c r="B274">
        <v>60</v>
      </c>
      <c r="C274" t="s">
        <v>15</v>
      </c>
      <c r="D274" t="s">
        <v>39</v>
      </c>
      <c r="E274" t="s">
        <v>40</v>
      </c>
      <c r="F274" s="5">
        <v>45608</v>
      </c>
      <c r="G274" s="5">
        <v>45629</v>
      </c>
      <c r="H274" t="s">
        <v>73</v>
      </c>
      <c r="I274">
        <v>2024</v>
      </c>
      <c r="J274">
        <v>21</v>
      </c>
      <c r="K274" t="s">
        <v>21</v>
      </c>
      <c r="L274" t="s">
        <v>20</v>
      </c>
      <c r="M274">
        <v>3</v>
      </c>
      <c r="N274" t="s">
        <v>21</v>
      </c>
      <c r="O274">
        <v>8000</v>
      </c>
      <c r="P274" t="str" cm="1">
        <f t="array" ref="P274">_xlfn.IFS(Hospital_Patient[[#This Row],[Age]]&lt;=18,"Young",Hospital_Patient[[#This Row],[Age]]&lt;=36,"Adult",Hospital_Patient[[#This Row],[Age]]&lt;=60,"Middle Age",Hospital_Patient[[#This Row],[Age]]&gt;60,"Senior")</f>
        <v>Middle Age</v>
      </c>
      <c r="Q274" t="str" cm="1">
        <f t="array" ref="Q2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74">
        <f>YEAR(Hospital_Patient[[#This Row],[Discharge_Date]])</f>
        <v>2024</v>
      </c>
    </row>
    <row r="275" spans="1:18" hidden="1" x14ac:dyDescent="0.25">
      <c r="A275">
        <v>348</v>
      </c>
      <c r="B275">
        <v>45</v>
      </c>
      <c r="C275" t="s">
        <v>22</v>
      </c>
      <c r="D275" t="s">
        <v>42</v>
      </c>
      <c r="E275" t="s">
        <v>43</v>
      </c>
      <c r="F275" s="5">
        <v>45598</v>
      </c>
      <c r="G275" s="5">
        <v>45627</v>
      </c>
      <c r="H275" t="s">
        <v>44</v>
      </c>
      <c r="I275">
        <v>2024</v>
      </c>
      <c r="J275">
        <v>29</v>
      </c>
      <c r="K275" t="s">
        <v>19</v>
      </c>
      <c r="L275" t="s">
        <v>20</v>
      </c>
      <c r="M275">
        <v>4</v>
      </c>
      <c r="N275" t="s">
        <v>19</v>
      </c>
      <c r="O275">
        <v>3000</v>
      </c>
      <c r="P275" t="str" cm="1">
        <f t="array" ref="P275">_xlfn.IFS(Hospital_Patient[[#This Row],[Age]]&lt;=18,"Young",Hospital_Patient[[#This Row],[Age]]&lt;=36,"Adult",Hospital_Patient[[#This Row],[Age]]&lt;=60,"Middle Age",Hospital_Patient[[#This Row],[Age]]&gt;60,"Senior")</f>
        <v>Middle Age</v>
      </c>
      <c r="Q275" t="str" cm="1">
        <f t="array" ref="Q2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75">
        <f>YEAR(Hospital_Patient[[#This Row],[Discharge_Date]])</f>
        <v>2024</v>
      </c>
    </row>
    <row r="276" spans="1:18" hidden="1" x14ac:dyDescent="0.25">
      <c r="A276">
        <v>519</v>
      </c>
      <c r="B276">
        <v>62</v>
      </c>
      <c r="C276" t="s">
        <v>22</v>
      </c>
      <c r="D276" t="s">
        <v>23</v>
      </c>
      <c r="E276" t="s">
        <v>24</v>
      </c>
      <c r="F276" s="5">
        <v>45583</v>
      </c>
      <c r="G276" s="5">
        <v>45621</v>
      </c>
      <c r="H276" t="s">
        <v>25</v>
      </c>
      <c r="I276">
        <v>2024</v>
      </c>
      <c r="J276">
        <v>38</v>
      </c>
      <c r="K276" t="s">
        <v>19</v>
      </c>
      <c r="L276" t="s">
        <v>26</v>
      </c>
      <c r="M276">
        <v>4</v>
      </c>
      <c r="N276" t="s">
        <v>21</v>
      </c>
      <c r="O276">
        <v>2000</v>
      </c>
      <c r="P276" t="str" cm="1">
        <f t="array" ref="P276">_xlfn.IFS(Hospital_Patient[[#This Row],[Age]]&lt;=18,"Young",Hospital_Patient[[#This Row],[Age]]&lt;=36,"Adult",Hospital_Patient[[#This Row],[Age]]&lt;=60,"Middle Age",Hospital_Patient[[#This Row],[Age]]&gt;60,"Senior")</f>
        <v>Senior</v>
      </c>
      <c r="Q276" t="str" cm="1">
        <f t="array" ref="Q2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76">
        <f>YEAR(Hospital_Patient[[#This Row],[Discharge_Date]])</f>
        <v>2024</v>
      </c>
    </row>
    <row r="277" spans="1:18" hidden="1" x14ac:dyDescent="0.25">
      <c r="A277">
        <v>324</v>
      </c>
      <c r="B277">
        <v>50</v>
      </c>
      <c r="C277" t="s">
        <v>22</v>
      </c>
      <c r="D277" t="s">
        <v>57</v>
      </c>
      <c r="E277" t="s">
        <v>58</v>
      </c>
      <c r="F277" s="5">
        <v>45595</v>
      </c>
      <c r="G277" s="5">
        <v>45620</v>
      </c>
      <c r="H277" t="s">
        <v>69</v>
      </c>
      <c r="I277">
        <v>2024</v>
      </c>
      <c r="J277">
        <v>25</v>
      </c>
      <c r="K277" t="s">
        <v>19</v>
      </c>
      <c r="L277" t="s">
        <v>20</v>
      </c>
      <c r="M277">
        <v>3</v>
      </c>
      <c r="N277" t="s">
        <v>21</v>
      </c>
      <c r="O277">
        <v>6000</v>
      </c>
      <c r="P277" t="str" cm="1">
        <f t="array" ref="P277">_xlfn.IFS(Hospital_Patient[[#This Row],[Age]]&lt;=18,"Young",Hospital_Patient[[#This Row],[Age]]&lt;=36,"Adult",Hospital_Patient[[#This Row],[Age]]&lt;=60,"Middle Age",Hospital_Patient[[#This Row],[Age]]&gt;60,"Senior")</f>
        <v>Middle Age</v>
      </c>
      <c r="Q277" t="str" cm="1">
        <f t="array" ref="Q2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77">
        <f>YEAR(Hospital_Patient[[#This Row],[Discharge_Date]])</f>
        <v>2024</v>
      </c>
    </row>
    <row r="278" spans="1:18" hidden="1" x14ac:dyDescent="0.25">
      <c r="A278">
        <v>476</v>
      </c>
      <c r="B278">
        <v>70</v>
      </c>
      <c r="C278" t="s">
        <v>22</v>
      </c>
      <c r="D278" t="s">
        <v>30</v>
      </c>
      <c r="E278" t="s">
        <v>31</v>
      </c>
      <c r="F278" s="5">
        <v>45579</v>
      </c>
      <c r="G278" s="5">
        <v>45619</v>
      </c>
      <c r="H278" t="s">
        <v>63</v>
      </c>
      <c r="I278">
        <v>2024</v>
      </c>
      <c r="J278">
        <v>40</v>
      </c>
      <c r="K278" t="s">
        <v>21</v>
      </c>
      <c r="L278" t="s">
        <v>26</v>
      </c>
      <c r="M278">
        <v>2</v>
      </c>
      <c r="N278" t="s">
        <v>19</v>
      </c>
      <c r="O278">
        <v>10000</v>
      </c>
      <c r="P278" t="str" cm="1">
        <f t="array" ref="P278">_xlfn.IFS(Hospital_Patient[[#This Row],[Age]]&lt;=18,"Young",Hospital_Patient[[#This Row],[Age]]&lt;=36,"Adult",Hospital_Patient[[#This Row],[Age]]&lt;=60,"Middle Age",Hospital_Patient[[#This Row],[Age]]&gt;60,"Senior")</f>
        <v>Senior</v>
      </c>
      <c r="Q278" t="str" cm="1">
        <f t="array" ref="Q2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78">
        <f>YEAR(Hospital_Patient[[#This Row],[Discharge_Date]])</f>
        <v>2024</v>
      </c>
    </row>
    <row r="279" spans="1:18" x14ac:dyDescent="0.25">
      <c r="A279">
        <v>819</v>
      </c>
      <c r="B279">
        <v>60</v>
      </c>
      <c r="C279" t="s">
        <v>15</v>
      </c>
      <c r="D279" t="s">
        <v>39</v>
      </c>
      <c r="E279" t="s">
        <v>40</v>
      </c>
      <c r="F279" s="5">
        <v>45558</v>
      </c>
      <c r="G279" s="5">
        <v>45619</v>
      </c>
      <c r="H279" t="s">
        <v>18</v>
      </c>
      <c r="I279">
        <v>2024</v>
      </c>
      <c r="J279">
        <v>61</v>
      </c>
      <c r="K279" t="s">
        <v>21</v>
      </c>
      <c r="L279" t="s">
        <v>20</v>
      </c>
      <c r="M279">
        <v>3</v>
      </c>
      <c r="N279" t="s">
        <v>21</v>
      </c>
      <c r="O279">
        <v>8000</v>
      </c>
      <c r="P279" t="str" cm="1">
        <f t="array" ref="P279">_xlfn.IFS(Hospital_Patient[[#This Row],[Age]]&lt;=18,"Young",Hospital_Patient[[#This Row],[Age]]&lt;=36,"Adult",Hospital_Patient[[#This Row],[Age]]&lt;=60,"Middle Age",Hospital_Patient[[#This Row],[Age]]&gt;60,"Senior")</f>
        <v>Middle Age</v>
      </c>
      <c r="Q279" t="str" cm="1">
        <f t="array" ref="Q2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79">
        <f>YEAR(Hospital_Patient[[#This Row],[Discharge_Date]])</f>
        <v>2024</v>
      </c>
    </row>
    <row r="280" spans="1:18" x14ac:dyDescent="0.25">
      <c r="A280">
        <v>983</v>
      </c>
      <c r="B280">
        <v>78</v>
      </c>
      <c r="C280" t="s">
        <v>15</v>
      </c>
      <c r="D280" t="s">
        <v>45</v>
      </c>
      <c r="E280" t="s">
        <v>46</v>
      </c>
      <c r="F280" s="5">
        <v>45542</v>
      </c>
      <c r="G280" s="5">
        <v>45616</v>
      </c>
      <c r="H280" t="s">
        <v>69</v>
      </c>
      <c r="I280">
        <v>2024</v>
      </c>
      <c r="J280">
        <v>74</v>
      </c>
      <c r="K280" t="s">
        <v>21</v>
      </c>
      <c r="L280" t="s">
        <v>26</v>
      </c>
      <c r="M280">
        <v>2</v>
      </c>
      <c r="N280" t="s">
        <v>21</v>
      </c>
      <c r="O280">
        <v>18000</v>
      </c>
      <c r="P280" t="str" cm="1">
        <f t="array" ref="P280">_xlfn.IFS(Hospital_Patient[[#This Row],[Age]]&lt;=18,"Young",Hospital_Patient[[#This Row],[Age]]&lt;=36,"Adult",Hospital_Patient[[#This Row],[Age]]&lt;=60,"Middle Age",Hospital_Patient[[#This Row],[Age]]&gt;60,"Senior")</f>
        <v>Senior</v>
      </c>
      <c r="Q280" t="str" cm="1">
        <f t="array" ref="Q2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280">
        <f>YEAR(Hospital_Patient[[#This Row],[Discharge_Date]])</f>
        <v>2024</v>
      </c>
    </row>
    <row r="281" spans="1:18" hidden="1" x14ac:dyDescent="0.25">
      <c r="A281">
        <v>224</v>
      </c>
      <c r="B281">
        <v>62</v>
      </c>
      <c r="C281" t="s">
        <v>22</v>
      </c>
      <c r="D281" t="s">
        <v>23</v>
      </c>
      <c r="E281" t="s">
        <v>24</v>
      </c>
      <c r="F281" s="5">
        <v>45595</v>
      </c>
      <c r="G281" s="5">
        <v>45613</v>
      </c>
      <c r="H281" t="s">
        <v>61</v>
      </c>
      <c r="I281">
        <v>2024</v>
      </c>
      <c r="J281">
        <v>18</v>
      </c>
      <c r="K281" t="s">
        <v>19</v>
      </c>
      <c r="L281" t="s">
        <v>26</v>
      </c>
      <c r="M281">
        <v>4</v>
      </c>
      <c r="N281" t="s">
        <v>19</v>
      </c>
      <c r="O281">
        <v>2000</v>
      </c>
      <c r="P281" t="str" cm="1">
        <f t="array" ref="P281">_xlfn.IFS(Hospital_Patient[[#This Row],[Age]]&lt;=18,"Young",Hospital_Patient[[#This Row],[Age]]&lt;=36,"Adult",Hospital_Patient[[#This Row],[Age]]&lt;=60,"Middle Age",Hospital_Patient[[#This Row],[Age]]&gt;60,"Senior")</f>
        <v>Senior</v>
      </c>
      <c r="Q281" t="str" cm="1">
        <f t="array" ref="Q2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81">
        <f>YEAR(Hospital_Patient[[#This Row],[Discharge_Date]])</f>
        <v>2024</v>
      </c>
    </row>
    <row r="282" spans="1:18" hidden="1" x14ac:dyDescent="0.25">
      <c r="A282">
        <v>611</v>
      </c>
      <c r="B282">
        <v>72</v>
      </c>
      <c r="C282" t="s">
        <v>22</v>
      </c>
      <c r="D282" t="s">
        <v>36</v>
      </c>
      <c r="E282" t="s">
        <v>37</v>
      </c>
      <c r="F282" s="5">
        <v>45568</v>
      </c>
      <c r="G282" s="5">
        <v>45613</v>
      </c>
      <c r="H282" t="s">
        <v>25</v>
      </c>
      <c r="I282">
        <v>2024</v>
      </c>
      <c r="J282">
        <v>45</v>
      </c>
      <c r="K282" t="s">
        <v>19</v>
      </c>
      <c r="L282" t="s">
        <v>26</v>
      </c>
      <c r="M282">
        <v>4</v>
      </c>
      <c r="N282" t="s">
        <v>19</v>
      </c>
      <c r="O282">
        <v>1000</v>
      </c>
      <c r="P282" t="str" cm="1">
        <f t="array" ref="P282">_xlfn.IFS(Hospital_Patient[[#This Row],[Age]]&lt;=18,"Young",Hospital_Patient[[#This Row],[Age]]&lt;=36,"Adult",Hospital_Patient[[#This Row],[Age]]&lt;=60,"Middle Age",Hospital_Patient[[#This Row],[Age]]&gt;60,"Senior")</f>
        <v>Senior</v>
      </c>
      <c r="Q282" t="str" cm="1">
        <f t="array" ref="Q2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2">
        <f>YEAR(Hospital_Patient[[#This Row],[Discharge_Date]])</f>
        <v>2024</v>
      </c>
    </row>
    <row r="283" spans="1:18" hidden="1" x14ac:dyDescent="0.25">
      <c r="A283">
        <v>649</v>
      </c>
      <c r="B283">
        <v>50</v>
      </c>
      <c r="C283" t="s">
        <v>22</v>
      </c>
      <c r="D283" t="s">
        <v>57</v>
      </c>
      <c r="E283" t="s">
        <v>58</v>
      </c>
      <c r="F283" s="5">
        <v>45566</v>
      </c>
      <c r="G283" s="5">
        <v>45613</v>
      </c>
      <c r="H283" t="s">
        <v>77</v>
      </c>
      <c r="I283">
        <v>2024</v>
      </c>
      <c r="J283">
        <v>47</v>
      </c>
      <c r="K283" t="s">
        <v>19</v>
      </c>
      <c r="L283" t="s">
        <v>20</v>
      </c>
      <c r="M283">
        <v>3</v>
      </c>
      <c r="N283" t="s">
        <v>19</v>
      </c>
      <c r="O283">
        <v>6000</v>
      </c>
      <c r="P283" t="str" cm="1">
        <f t="array" ref="P283">_xlfn.IFS(Hospital_Patient[[#This Row],[Age]]&lt;=18,"Young",Hospital_Patient[[#This Row],[Age]]&lt;=36,"Adult",Hospital_Patient[[#This Row],[Age]]&lt;=60,"Middle Age",Hospital_Patient[[#This Row],[Age]]&gt;60,"Senior")</f>
        <v>Middle Age</v>
      </c>
      <c r="Q283" t="str" cm="1">
        <f t="array" ref="Q2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3">
        <f>YEAR(Hospital_Patient[[#This Row],[Discharge_Date]])</f>
        <v>2024</v>
      </c>
    </row>
    <row r="284" spans="1:18" x14ac:dyDescent="0.25">
      <c r="A284">
        <v>633</v>
      </c>
      <c r="B284">
        <v>32</v>
      </c>
      <c r="C284" t="s">
        <v>15</v>
      </c>
      <c r="D284" t="s">
        <v>54</v>
      </c>
      <c r="E284" t="s">
        <v>55</v>
      </c>
      <c r="F284" s="5">
        <v>45567</v>
      </c>
      <c r="G284" s="5">
        <v>45612</v>
      </c>
      <c r="H284" t="s">
        <v>68</v>
      </c>
      <c r="I284">
        <v>2024</v>
      </c>
      <c r="J284">
        <v>45</v>
      </c>
      <c r="K284" t="s">
        <v>19</v>
      </c>
      <c r="L284" t="s">
        <v>20</v>
      </c>
      <c r="M284">
        <v>4</v>
      </c>
      <c r="N284" t="s">
        <v>21</v>
      </c>
      <c r="O284">
        <v>12000</v>
      </c>
      <c r="P284" t="str" cm="1">
        <f t="array" ref="P284">_xlfn.IFS(Hospital_Patient[[#This Row],[Age]]&lt;=18,"Young",Hospital_Patient[[#This Row],[Age]]&lt;=36,"Adult",Hospital_Patient[[#This Row],[Age]]&lt;=60,"Middle Age",Hospital_Patient[[#This Row],[Age]]&gt;60,"Senior")</f>
        <v>Adult</v>
      </c>
      <c r="Q284" t="str" cm="1">
        <f t="array" ref="Q2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4">
        <f>YEAR(Hospital_Patient[[#This Row],[Discharge_Date]])</f>
        <v>2024</v>
      </c>
    </row>
    <row r="285" spans="1:18" x14ac:dyDescent="0.25">
      <c r="A285">
        <v>620</v>
      </c>
      <c r="B285">
        <v>60</v>
      </c>
      <c r="C285" t="s">
        <v>15</v>
      </c>
      <c r="D285" t="s">
        <v>59</v>
      </c>
      <c r="E285" t="s">
        <v>60</v>
      </c>
      <c r="F285" s="5">
        <v>45563</v>
      </c>
      <c r="G285" s="5">
        <v>45609</v>
      </c>
      <c r="H285" t="s">
        <v>61</v>
      </c>
      <c r="I285">
        <v>2024</v>
      </c>
      <c r="J285">
        <v>46</v>
      </c>
      <c r="K285" t="s">
        <v>19</v>
      </c>
      <c r="L285" t="s">
        <v>26</v>
      </c>
      <c r="M285">
        <v>4</v>
      </c>
      <c r="N285" t="s">
        <v>19</v>
      </c>
      <c r="O285">
        <v>4000</v>
      </c>
      <c r="P285" t="str" cm="1">
        <f t="array" ref="P285">_xlfn.IFS(Hospital_Patient[[#This Row],[Age]]&lt;=18,"Young",Hospital_Patient[[#This Row],[Age]]&lt;=36,"Adult",Hospital_Patient[[#This Row],[Age]]&lt;=60,"Middle Age",Hospital_Patient[[#This Row],[Age]]&gt;60,"Senior")</f>
        <v>Middle Age</v>
      </c>
      <c r="Q285" t="str" cm="1">
        <f t="array" ref="Q2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5">
        <f>YEAR(Hospital_Patient[[#This Row],[Discharge_Date]])</f>
        <v>2024</v>
      </c>
    </row>
    <row r="286" spans="1:18" x14ac:dyDescent="0.25">
      <c r="A286">
        <v>207</v>
      </c>
      <c r="B286">
        <v>60</v>
      </c>
      <c r="C286" t="s">
        <v>15</v>
      </c>
      <c r="D286" t="s">
        <v>59</v>
      </c>
      <c r="E286" t="s">
        <v>60</v>
      </c>
      <c r="F286" s="5">
        <v>45589</v>
      </c>
      <c r="G286" s="5">
        <v>45607</v>
      </c>
      <c r="H286" t="s">
        <v>75</v>
      </c>
      <c r="I286">
        <v>2024</v>
      </c>
      <c r="J286">
        <v>18</v>
      </c>
      <c r="K286" t="s">
        <v>19</v>
      </c>
      <c r="L286" t="s">
        <v>26</v>
      </c>
      <c r="M286">
        <v>4</v>
      </c>
      <c r="N286" t="s">
        <v>21</v>
      </c>
      <c r="O286">
        <v>4000</v>
      </c>
      <c r="P286" t="str" cm="1">
        <f t="array" ref="P286">_xlfn.IFS(Hospital_Patient[[#This Row],[Age]]&lt;=18,"Young",Hospital_Patient[[#This Row],[Age]]&lt;=36,"Adult",Hospital_Patient[[#This Row],[Age]]&lt;=60,"Middle Age",Hospital_Patient[[#This Row],[Age]]&gt;60,"Senior")</f>
        <v>Middle Age</v>
      </c>
      <c r="Q286" t="str" cm="1">
        <f t="array" ref="Q2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86">
        <f>YEAR(Hospital_Patient[[#This Row],[Discharge_Date]])</f>
        <v>2024</v>
      </c>
    </row>
    <row r="287" spans="1:18" x14ac:dyDescent="0.25">
      <c r="A287">
        <v>597</v>
      </c>
      <c r="B287">
        <v>45</v>
      </c>
      <c r="C287" t="s">
        <v>15</v>
      </c>
      <c r="D287" t="s">
        <v>39</v>
      </c>
      <c r="E287" t="s">
        <v>40</v>
      </c>
      <c r="F287" s="5">
        <v>45555</v>
      </c>
      <c r="G287" s="5">
        <v>45601</v>
      </c>
      <c r="H287" t="s">
        <v>72</v>
      </c>
      <c r="I287">
        <v>2024</v>
      </c>
      <c r="J287">
        <v>46</v>
      </c>
      <c r="K287" t="s">
        <v>19</v>
      </c>
      <c r="L287" t="s">
        <v>20</v>
      </c>
      <c r="M287">
        <v>3</v>
      </c>
      <c r="N287" t="s">
        <v>19</v>
      </c>
      <c r="O287">
        <v>8000</v>
      </c>
      <c r="P287" t="str" cm="1">
        <f t="array" ref="P287">_xlfn.IFS(Hospital_Patient[[#This Row],[Age]]&lt;=18,"Young",Hospital_Patient[[#This Row],[Age]]&lt;=36,"Adult",Hospital_Patient[[#This Row],[Age]]&lt;=60,"Middle Age",Hospital_Patient[[#This Row],[Age]]&gt;60,"Senior")</f>
        <v>Middle Age</v>
      </c>
      <c r="Q287" t="str" cm="1">
        <f t="array" ref="Q2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7">
        <f>YEAR(Hospital_Patient[[#This Row],[Discharge_Date]])</f>
        <v>2024</v>
      </c>
    </row>
    <row r="288" spans="1:18" hidden="1" x14ac:dyDescent="0.25">
      <c r="A288">
        <v>344</v>
      </c>
      <c r="B288">
        <v>78</v>
      </c>
      <c r="C288" t="s">
        <v>22</v>
      </c>
      <c r="D288" t="s">
        <v>30</v>
      </c>
      <c r="E288" t="s">
        <v>31</v>
      </c>
      <c r="F288" s="5">
        <v>45570</v>
      </c>
      <c r="G288" s="5">
        <v>45600</v>
      </c>
      <c r="H288" t="s">
        <v>63</v>
      </c>
      <c r="I288">
        <v>2024</v>
      </c>
      <c r="J288">
        <v>30</v>
      </c>
      <c r="K288" t="s">
        <v>19</v>
      </c>
      <c r="L288" t="s">
        <v>26</v>
      </c>
      <c r="M288">
        <v>2</v>
      </c>
      <c r="N288" t="s">
        <v>19</v>
      </c>
      <c r="O288">
        <v>10000</v>
      </c>
      <c r="P288" t="str" cm="1">
        <f t="array" ref="P288">_xlfn.IFS(Hospital_Patient[[#This Row],[Age]]&lt;=18,"Young",Hospital_Patient[[#This Row],[Age]]&lt;=36,"Adult",Hospital_Patient[[#This Row],[Age]]&lt;=60,"Middle Age",Hospital_Patient[[#This Row],[Age]]&gt;60,"Senior")</f>
        <v>Senior</v>
      </c>
      <c r="Q288" t="str" cm="1">
        <f t="array" ref="Q2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88">
        <f>YEAR(Hospital_Patient[[#This Row],[Discharge_Date]])</f>
        <v>2024</v>
      </c>
    </row>
    <row r="289" spans="1:18" hidden="1" x14ac:dyDescent="0.25">
      <c r="A289">
        <v>539</v>
      </c>
      <c r="B289">
        <v>40</v>
      </c>
      <c r="C289" t="s">
        <v>22</v>
      </c>
      <c r="D289" t="s">
        <v>42</v>
      </c>
      <c r="E289" t="s">
        <v>43</v>
      </c>
      <c r="F289" s="5">
        <v>45555</v>
      </c>
      <c r="G289" s="5">
        <v>45597</v>
      </c>
      <c r="H289" t="s">
        <v>44</v>
      </c>
      <c r="I289">
        <v>2024</v>
      </c>
      <c r="J289">
        <v>42</v>
      </c>
      <c r="K289" t="s">
        <v>19</v>
      </c>
      <c r="L289" t="s">
        <v>20</v>
      </c>
      <c r="M289">
        <v>4</v>
      </c>
      <c r="N289" t="s">
        <v>19</v>
      </c>
      <c r="O289">
        <v>3000</v>
      </c>
      <c r="P289" t="str" cm="1">
        <f t="array" ref="P289">_xlfn.IFS(Hospital_Patient[[#This Row],[Age]]&lt;=18,"Young",Hospital_Patient[[#This Row],[Age]]&lt;=36,"Adult",Hospital_Patient[[#This Row],[Age]]&lt;=60,"Middle Age",Hospital_Patient[[#This Row],[Age]]&gt;60,"Senior")</f>
        <v>Middle Age</v>
      </c>
      <c r="Q289" t="str" cm="1">
        <f t="array" ref="Q2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89">
        <f>YEAR(Hospital_Patient[[#This Row],[Discharge_Date]])</f>
        <v>2024</v>
      </c>
    </row>
    <row r="290" spans="1:18" hidden="1" x14ac:dyDescent="0.25">
      <c r="A290">
        <v>550</v>
      </c>
      <c r="B290">
        <v>78</v>
      </c>
      <c r="C290" t="s">
        <v>22</v>
      </c>
      <c r="D290" t="s">
        <v>30</v>
      </c>
      <c r="E290" t="s">
        <v>31</v>
      </c>
      <c r="F290" s="5">
        <v>45541</v>
      </c>
      <c r="G290" s="5">
        <v>45586</v>
      </c>
      <c r="H290" t="s">
        <v>35</v>
      </c>
      <c r="I290">
        <v>2024</v>
      </c>
      <c r="J290">
        <v>45</v>
      </c>
      <c r="K290" t="s">
        <v>19</v>
      </c>
      <c r="L290" t="s">
        <v>26</v>
      </c>
      <c r="M290">
        <v>2</v>
      </c>
      <c r="N290" t="s">
        <v>19</v>
      </c>
      <c r="O290">
        <v>10000</v>
      </c>
      <c r="P290" t="str" cm="1">
        <f t="array" ref="P290">_xlfn.IFS(Hospital_Patient[[#This Row],[Age]]&lt;=18,"Young",Hospital_Patient[[#This Row],[Age]]&lt;=36,"Adult",Hospital_Patient[[#This Row],[Age]]&lt;=60,"Middle Age",Hospital_Patient[[#This Row],[Age]]&gt;60,"Senior")</f>
        <v>Senior</v>
      </c>
      <c r="Q290" t="str" cm="1">
        <f t="array" ref="Q2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90">
        <f>YEAR(Hospital_Patient[[#This Row],[Discharge_Date]])</f>
        <v>2024</v>
      </c>
    </row>
    <row r="291" spans="1:18" hidden="1" x14ac:dyDescent="0.25">
      <c r="A291">
        <v>412</v>
      </c>
      <c r="B291">
        <v>50</v>
      </c>
      <c r="C291" t="s">
        <v>22</v>
      </c>
      <c r="D291" t="s">
        <v>57</v>
      </c>
      <c r="E291" t="s">
        <v>58</v>
      </c>
      <c r="F291" s="5">
        <v>45554</v>
      </c>
      <c r="G291" s="5">
        <v>45585</v>
      </c>
      <c r="H291" t="s">
        <v>51</v>
      </c>
      <c r="I291">
        <v>2024</v>
      </c>
      <c r="J291">
        <v>31</v>
      </c>
      <c r="K291" t="s">
        <v>19</v>
      </c>
      <c r="L291" t="s">
        <v>20</v>
      </c>
      <c r="M291">
        <v>3</v>
      </c>
      <c r="N291" t="s">
        <v>19</v>
      </c>
      <c r="O291">
        <v>6000</v>
      </c>
      <c r="P291" t="str" cm="1">
        <f t="array" ref="P291">_xlfn.IFS(Hospital_Patient[[#This Row],[Age]]&lt;=18,"Young",Hospital_Patient[[#This Row],[Age]]&lt;=36,"Adult",Hospital_Patient[[#This Row],[Age]]&lt;=60,"Middle Age",Hospital_Patient[[#This Row],[Age]]&gt;60,"Senior")</f>
        <v>Middle Age</v>
      </c>
      <c r="Q291" t="str" cm="1">
        <f t="array" ref="Q2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91">
        <f>YEAR(Hospital_Patient[[#This Row],[Discharge_Date]])</f>
        <v>2024</v>
      </c>
    </row>
    <row r="292" spans="1:18" x14ac:dyDescent="0.25">
      <c r="A292">
        <v>328</v>
      </c>
      <c r="B292">
        <v>30</v>
      </c>
      <c r="C292" t="s">
        <v>15</v>
      </c>
      <c r="D292" t="s">
        <v>27</v>
      </c>
      <c r="E292" t="s">
        <v>28</v>
      </c>
      <c r="F292" s="5">
        <v>45561</v>
      </c>
      <c r="G292" s="5">
        <v>45584</v>
      </c>
      <c r="H292" t="s">
        <v>29</v>
      </c>
      <c r="I292">
        <v>2024</v>
      </c>
      <c r="J292">
        <v>23</v>
      </c>
      <c r="K292" t="s">
        <v>19</v>
      </c>
      <c r="L292" t="s">
        <v>20</v>
      </c>
      <c r="M292">
        <v>5</v>
      </c>
      <c r="N292" t="s">
        <v>19</v>
      </c>
      <c r="O292">
        <v>500</v>
      </c>
      <c r="P292" t="str" cm="1">
        <f t="array" ref="P292">_xlfn.IFS(Hospital_Patient[[#This Row],[Age]]&lt;=18,"Young",Hospital_Patient[[#This Row],[Age]]&lt;=36,"Adult",Hospital_Patient[[#This Row],[Age]]&lt;=60,"Middle Age",Hospital_Patient[[#This Row],[Age]]&gt;60,"Senior")</f>
        <v>Adult</v>
      </c>
      <c r="Q292" t="str" cm="1">
        <f t="array" ref="Q2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92">
        <f>YEAR(Hospital_Patient[[#This Row],[Discharge_Date]])</f>
        <v>2024</v>
      </c>
    </row>
    <row r="293" spans="1:18" x14ac:dyDescent="0.25">
      <c r="A293">
        <v>642</v>
      </c>
      <c r="B293">
        <v>60</v>
      </c>
      <c r="C293" t="s">
        <v>15</v>
      </c>
      <c r="D293" t="s">
        <v>39</v>
      </c>
      <c r="E293" t="s">
        <v>40</v>
      </c>
      <c r="F293" s="5">
        <v>45535</v>
      </c>
      <c r="G293" s="5">
        <v>45584</v>
      </c>
      <c r="H293" t="s">
        <v>18</v>
      </c>
      <c r="I293">
        <v>2024</v>
      </c>
      <c r="J293">
        <v>49</v>
      </c>
      <c r="K293" t="s">
        <v>21</v>
      </c>
      <c r="L293" t="s">
        <v>20</v>
      </c>
      <c r="M293">
        <v>3</v>
      </c>
      <c r="N293" t="s">
        <v>19</v>
      </c>
      <c r="O293">
        <v>8000</v>
      </c>
      <c r="P293" t="str" cm="1">
        <f t="array" ref="P293">_xlfn.IFS(Hospital_Patient[[#This Row],[Age]]&lt;=18,"Young",Hospital_Patient[[#This Row],[Age]]&lt;=36,"Adult",Hospital_Patient[[#This Row],[Age]]&lt;=60,"Middle Age",Hospital_Patient[[#This Row],[Age]]&gt;60,"Senior")</f>
        <v>Middle Age</v>
      </c>
      <c r="Q293" t="str" cm="1">
        <f t="array" ref="Q2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93">
        <f>YEAR(Hospital_Patient[[#This Row],[Discharge_Date]])</f>
        <v>2024</v>
      </c>
    </row>
    <row r="294" spans="1:18" hidden="1" x14ac:dyDescent="0.25">
      <c r="A294">
        <v>191</v>
      </c>
      <c r="B294">
        <v>55</v>
      </c>
      <c r="C294" t="s">
        <v>22</v>
      </c>
      <c r="D294" t="s">
        <v>57</v>
      </c>
      <c r="E294" t="s">
        <v>58</v>
      </c>
      <c r="F294" s="5">
        <v>45567</v>
      </c>
      <c r="G294" s="5">
        <v>45583</v>
      </c>
      <c r="H294" t="s">
        <v>51</v>
      </c>
      <c r="I294">
        <v>2024</v>
      </c>
      <c r="J294">
        <v>16</v>
      </c>
      <c r="K294" t="s">
        <v>19</v>
      </c>
      <c r="L294" t="s">
        <v>20</v>
      </c>
      <c r="M294">
        <v>3</v>
      </c>
      <c r="N294" t="s">
        <v>21</v>
      </c>
      <c r="O294">
        <v>6000</v>
      </c>
      <c r="P294" t="str" cm="1">
        <f t="array" ref="P294">_xlfn.IFS(Hospital_Patient[[#This Row],[Age]]&lt;=18,"Young",Hospital_Patient[[#This Row],[Age]]&lt;=36,"Adult",Hospital_Patient[[#This Row],[Age]]&lt;=60,"Middle Age",Hospital_Patient[[#This Row],[Age]]&gt;60,"Senior")</f>
        <v>Middle Age</v>
      </c>
      <c r="Q294" t="str" cm="1">
        <f t="array" ref="Q2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94">
        <f>YEAR(Hospital_Patient[[#This Row],[Discharge_Date]])</f>
        <v>2024</v>
      </c>
    </row>
    <row r="295" spans="1:18" x14ac:dyDescent="0.25">
      <c r="A295">
        <v>195</v>
      </c>
      <c r="B295">
        <v>35</v>
      </c>
      <c r="C295" t="s">
        <v>15</v>
      </c>
      <c r="D295" t="s">
        <v>27</v>
      </c>
      <c r="E295" t="s">
        <v>28</v>
      </c>
      <c r="F295" s="5">
        <v>45565</v>
      </c>
      <c r="G295" s="5">
        <v>45579</v>
      </c>
      <c r="H295" t="s">
        <v>29</v>
      </c>
      <c r="I295">
        <v>2024</v>
      </c>
      <c r="J295">
        <v>14</v>
      </c>
      <c r="K295" t="s">
        <v>21</v>
      </c>
      <c r="L295" t="s">
        <v>20</v>
      </c>
      <c r="M295">
        <v>5</v>
      </c>
      <c r="N295" t="s">
        <v>21</v>
      </c>
      <c r="O295">
        <v>500</v>
      </c>
      <c r="P295" t="str" cm="1">
        <f t="array" ref="P295">_xlfn.IFS(Hospital_Patient[[#This Row],[Age]]&lt;=18,"Young",Hospital_Patient[[#This Row],[Age]]&lt;=36,"Adult",Hospital_Patient[[#This Row],[Age]]&lt;=60,"Middle Age",Hospital_Patient[[#This Row],[Age]]&gt;60,"Senior")</f>
        <v>Adult</v>
      </c>
      <c r="Q295" t="str" cm="1">
        <f t="array" ref="Q2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295">
        <f>YEAR(Hospital_Patient[[#This Row],[Discharge_Date]])</f>
        <v>2024</v>
      </c>
    </row>
    <row r="296" spans="1:18" hidden="1" x14ac:dyDescent="0.25">
      <c r="A296">
        <v>773</v>
      </c>
      <c r="B296">
        <v>68</v>
      </c>
      <c r="C296" t="s">
        <v>22</v>
      </c>
      <c r="D296" t="s">
        <v>36</v>
      </c>
      <c r="E296" t="s">
        <v>37</v>
      </c>
      <c r="F296" s="5">
        <v>45523</v>
      </c>
      <c r="G296" s="5">
        <v>45579</v>
      </c>
      <c r="H296" t="s">
        <v>79</v>
      </c>
      <c r="I296">
        <v>2024</v>
      </c>
      <c r="J296">
        <v>56</v>
      </c>
      <c r="K296" t="s">
        <v>19</v>
      </c>
      <c r="L296" t="s">
        <v>26</v>
      </c>
      <c r="M296">
        <v>4</v>
      </c>
      <c r="N296" t="s">
        <v>19</v>
      </c>
      <c r="O296">
        <v>1000</v>
      </c>
      <c r="P296" t="str" cm="1">
        <f t="array" ref="P296">_xlfn.IFS(Hospital_Patient[[#This Row],[Age]]&lt;=18,"Young",Hospital_Patient[[#This Row],[Age]]&lt;=36,"Adult",Hospital_Patient[[#This Row],[Age]]&lt;=60,"Middle Age",Hospital_Patient[[#This Row],[Age]]&gt;60,"Senior")</f>
        <v>Senior</v>
      </c>
      <c r="Q296" t="str" cm="1">
        <f t="array" ref="Q2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96">
        <f>YEAR(Hospital_Patient[[#This Row],[Discharge_Date]])</f>
        <v>2024</v>
      </c>
    </row>
    <row r="297" spans="1:18" x14ac:dyDescent="0.25">
      <c r="A297">
        <v>625</v>
      </c>
      <c r="B297">
        <v>55</v>
      </c>
      <c r="C297" t="s">
        <v>15</v>
      </c>
      <c r="D297" t="s">
        <v>33</v>
      </c>
      <c r="E297" t="s">
        <v>34</v>
      </c>
      <c r="F297" s="5">
        <v>45524</v>
      </c>
      <c r="G297" s="5">
        <v>45576</v>
      </c>
      <c r="H297" t="s">
        <v>18</v>
      </c>
      <c r="I297">
        <v>2024</v>
      </c>
      <c r="J297">
        <v>52</v>
      </c>
      <c r="K297" t="s">
        <v>19</v>
      </c>
      <c r="L297" t="s">
        <v>20</v>
      </c>
      <c r="M297">
        <v>4</v>
      </c>
      <c r="N297" t="s">
        <v>19</v>
      </c>
      <c r="O297">
        <v>25000</v>
      </c>
      <c r="P297" t="str" cm="1">
        <f t="array" ref="P297">_xlfn.IFS(Hospital_Patient[[#This Row],[Age]]&lt;=18,"Young",Hospital_Patient[[#This Row],[Age]]&lt;=36,"Adult",Hospital_Patient[[#This Row],[Age]]&lt;=60,"Middle Age",Hospital_Patient[[#This Row],[Age]]&gt;60,"Senior")</f>
        <v>Middle Age</v>
      </c>
      <c r="Q297" t="str" cm="1">
        <f t="array" ref="Q2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297">
        <f>YEAR(Hospital_Patient[[#This Row],[Discharge_Date]])</f>
        <v>2024</v>
      </c>
    </row>
    <row r="298" spans="1:18" hidden="1" x14ac:dyDescent="0.25">
      <c r="A298">
        <v>59</v>
      </c>
      <c r="B298">
        <v>50</v>
      </c>
      <c r="C298" t="s">
        <v>22</v>
      </c>
      <c r="D298" t="s">
        <v>57</v>
      </c>
      <c r="E298" t="s">
        <v>58</v>
      </c>
      <c r="F298" s="5">
        <v>45568</v>
      </c>
      <c r="G298" s="5">
        <v>45575</v>
      </c>
      <c r="H298" t="s">
        <v>76</v>
      </c>
      <c r="I298">
        <v>2024</v>
      </c>
      <c r="J298">
        <v>7</v>
      </c>
      <c r="K298" t="s">
        <v>19</v>
      </c>
      <c r="L298" t="s">
        <v>20</v>
      </c>
      <c r="M298">
        <v>3</v>
      </c>
      <c r="N298" t="s">
        <v>19</v>
      </c>
      <c r="O298">
        <v>6000</v>
      </c>
      <c r="P298" t="str" cm="1">
        <f t="array" ref="P298">_xlfn.IFS(Hospital_Patient[[#This Row],[Age]]&lt;=18,"Young",Hospital_Patient[[#This Row],[Age]]&lt;=36,"Adult",Hospital_Patient[[#This Row],[Age]]&lt;=60,"Middle Age",Hospital_Patient[[#This Row],[Age]]&gt;60,"Senior")</f>
        <v>Middle Age</v>
      </c>
      <c r="Q298" t="str" cm="1">
        <f t="array" ref="Q2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298">
        <f>YEAR(Hospital_Patient[[#This Row],[Discharge_Date]])</f>
        <v>2024</v>
      </c>
    </row>
    <row r="299" spans="1:18" hidden="1" x14ac:dyDescent="0.25">
      <c r="A299">
        <v>303</v>
      </c>
      <c r="B299">
        <v>40</v>
      </c>
      <c r="C299" t="s">
        <v>22</v>
      </c>
      <c r="D299" t="s">
        <v>42</v>
      </c>
      <c r="E299" t="s">
        <v>43</v>
      </c>
      <c r="F299" s="5">
        <v>45549</v>
      </c>
      <c r="G299" s="5">
        <v>45575</v>
      </c>
      <c r="H299" t="s">
        <v>71</v>
      </c>
      <c r="I299">
        <v>2024</v>
      </c>
      <c r="J299">
        <v>26</v>
      </c>
      <c r="K299" t="s">
        <v>19</v>
      </c>
      <c r="L299" t="s">
        <v>20</v>
      </c>
      <c r="M299">
        <v>4</v>
      </c>
      <c r="N299" t="s">
        <v>19</v>
      </c>
      <c r="O299">
        <v>3000</v>
      </c>
      <c r="P299" t="str" cm="1">
        <f t="array" ref="P299">_xlfn.IFS(Hospital_Patient[[#This Row],[Age]]&lt;=18,"Young",Hospital_Patient[[#This Row],[Age]]&lt;=36,"Adult",Hospital_Patient[[#This Row],[Age]]&lt;=60,"Middle Age",Hospital_Patient[[#This Row],[Age]]&gt;60,"Senior")</f>
        <v>Middle Age</v>
      </c>
      <c r="Q299" t="str" cm="1">
        <f t="array" ref="Q2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299">
        <f>YEAR(Hospital_Patient[[#This Row],[Discharge_Date]])</f>
        <v>2024</v>
      </c>
    </row>
    <row r="300" spans="1:18" hidden="1" x14ac:dyDescent="0.25">
      <c r="A300">
        <v>226</v>
      </c>
      <c r="B300">
        <v>78</v>
      </c>
      <c r="C300" t="s">
        <v>22</v>
      </c>
      <c r="D300" t="s">
        <v>30</v>
      </c>
      <c r="E300" t="s">
        <v>31</v>
      </c>
      <c r="F300" s="5">
        <v>45552</v>
      </c>
      <c r="G300" s="5">
        <v>45574</v>
      </c>
      <c r="H300" t="s">
        <v>32</v>
      </c>
      <c r="I300">
        <v>2024</v>
      </c>
      <c r="J300">
        <v>22</v>
      </c>
      <c r="K300" t="s">
        <v>19</v>
      </c>
      <c r="L300" t="s">
        <v>26</v>
      </c>
      <c r="M300">
        <v>2</v>
      </c>
      <c r="N300" t="s">
        <v>21</v>
      </c>
      <c r="O300">
        <v>10000</v>
      </c>
      <c r="P300" t="str" cm="1">
        <f t="array" ref="P300">_xlfn.IFS(Hospital_Patient[[#This Row],[Age]]&lt;=18,"Young",Hospital_Patient[[#This Row],[Age]]&lt;=36,"Adult",Hospital_Patient[[#This Row],[Age]]&lt;=60,"Middle Age",Hospital_Patient[[#This Row],[Age]]&gt;60,"Senior")</f>
        <v>Senior</v>
      </c>
      <c r="Q300" t="str" cm="1">
        <f t="array" ref="Q3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00">
        <f>YEAR(Hospital_Patient[[#This Row],[Discharge_Date]])</f>
        <v>2024</v>
      </c>
    </row>
    <row r="301" spans="1:18" x14ac:dyDescent="0.25">
      <c r="A301">
        <v>933</v>
      </c>
      <c r="B301">
        <v>35</v>
      </c>
      <c r="C301" t="s">
        <v>15</v>
      </c>
      <c r="D301" t="s">
        <v>27</v>
      </c>
      <c r="E301" t="s">
        <v>28</v>
      </c>
      <c r="F301" s="5">
        <v>45509</v>
      </c>
      <c r="G301" s="5">
        <v>45573</v>
      </c>
      <c r="H301" t="s">
        <v>70</v>
      </c>
      <c r="I301">
        <v>2024</v>
      </c>
      <c r="J301">
        <v>64</v>
      </c>
      <c r="K301" t="s">
        <v>21</v>
      </c>
      <c r="L301" t="s">
        <v>20</v>
      </c>
      <c r="M301">
        <v>5</v>
      </c>
      <c r="N301" t="s">
        <v>19</v>
      </c>
      <c r="O301">
        <v>500</v>
      </c>
      <c r="P301" t="str" cm="1">
        <f t="array" ref="P301">_xlfn.IFS(Hospital_Patient[[#This Row],[Age]]&lt;=18,"Young",Hospital_Patient[[#This Row],[Age]]&lt;=36,"Adult",Hospital_Patient[[#This Row],[Age]]&lt;=60,"Middle Age",Hospital_Patient[[#This Row],[Age]]&gt;60,"Senior")</f>
        <v>Adult</v>
      </c>
      <c r="Q301" t="str" cm="1">
        <f t="array" ref="Q3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01">
        <f>YEAR(Hospital_Patient[[#This Row],[Discharge_Date]])</f>
        <v>2024</v>
      </c>
    </row>
    <row r="302" spans="1:18" hidden="1" x14ac:dyDescent="0.25">
      <c r="A302">
        <v>628</v>
      </c>
      <c r="B302">
        <v>40</v>
      </c>
      <c r="C302" t="s">
        <v>22</v>
      </c>
      <c r="D302" t="s">
        <v>42</v>
      </c>
      <c r="E302" t="s">
        <v>43</v>
      </c>
      <c r="F302" s="5">
        <v>45524</v>
      </c>
      <c r="G302" s="5">
        <v>45572</v>
      </c>
      <c r="H302" t="s">
        <v>71</v>
      </c>
      <c r="I302">
        <v>2024</v>
      </c>
      <c r="J302">
        <v>48</v>
      </c>
      <c r="K302" t="s">
        <v>19</v>
      </c>
      <c r="L302" t="s">
        <v>20</v>
      </c>
      <c r="M302">
        <v>4</v>
      </c>
      <c r="N302" t="s">
        <v>21</v>
      </c>
      <c r="O302">
        <v>3000</v>
      </c>
      <c r="P302" t="str" cm="1">
        <f t="array" ref="P302">_xlfn.IFS(Hospital_Patient[[#This Row],[Age]]&lt;=18,"Young",Hospital_Patient[[#This Row],[Age]]&lt;=36,"Adult",Hospital_Patient[[#This Row],[Age]]&lt;=60,"Middle Age",Hospital_Patient[[#This Row],[Age]]&gt;60,"Senior")</f>
        <v>Middle Age</v>
      </c>
      <c r="Q302" t="str" cm="1">
        <f t="array" ref="Q3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02">
        <f>YEAR(Hospital_Patient[[#This Row],[Discharge_Date]])</f>
        <v>2024</v>
      </c>
    </row>
    <row r="303" spans="1:18" hidden="1" x14ac:dyDescent="0.25">
      <c r="A303">
        <v>885</v>
      </c>
      <c r="B303">
        <v>50</v>
      </c>
      <c r="C303" t="s">
        <v>22</v>
      </c>
      <c r="D303" t="s">
        <v>57</v>
      </c>
      <c r="E303" t="s">
        <v>58</v>
      </c>
      <c r="F303" s="5">
        <v>45508</v>
      </c>
      <c r="G303" s="5">
        <v>45571</v>
      </c>
      <c r="H303" t="s">
        <v>76</v>
      </c>
      <c r="I303">
        <v>2024</v>
      </c>
      <c r="J303">
        <v>63</v>
      </c>
      <c r="K303" t="s">
        <v>19</v>
      </c>
      <c r="L303" t="s">
        <v>20</v>
      </c>
      <c r="M303">
        <v>3</v>
      </c>
      <c r="N303" t="s">
        <v>19</v>
      </c>
      <c r="O303">
        <v>6000</v>
      </c>
      <c r="P303" t="str" cm="1">
        <f t="array" ref="P303">_xlfn.IFS(Hospital_Patient[[#This Row],[Age]]&lt;=18,"Young",Hospital_Patient[[#This Row],[Age]]&lt;=36,"Adult",Hospital_Patient[[#This Row],[Age]]&lt;=60,"Middle Age",Hospital_Patient[[#This Row],[Age]]&gt;60,"Senior")</f>
        <v>Middle Age</v>
      </c>
      <c r="Q303" t="str" cm="1">
        <f t="array" ref="Q3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03">
        <f>YEAR(Hospital_Patient[[#This Row],[Discharge_Date]])</f>
        <v>2024</v>
      </c>
    </row>
    <row r="304" spans="1:18" hidden="1" x14ac:dyDescent="0.25">
      <c r="A304">
        <v>480</v>
      </c>
      <c r="B304">
        <v>40</v>
      </c>
      <c r="C304" t="s">
        <v>22</v>
      </c>
      <c r="D304" t="s">
        <v>42</v>
      </c>
      <c r="E304" t="s">
        <v>43</v>
      </c>
      <c r="F304" s="5">
        <v>45532</v>
      </c>
      <c r="G304" s="5">
        <v>45570</v>
      </c>
      <c r="H304" t="s">
        <v>70</v>
      </c>
      <c r="I304">
        <v>2024</v>
      </c>
      <c r="J304">
        <v>38</v>
      </c>
      <c r="K304" t="s">
        <v>19</v>
      </c>
      <c r="L304" t="s">
        <v>20</v>
      </c>
      <c r="M304">
        <v>4</v>
      </c>
      <c r="N304" t="s">
        <v>19</v>
      </c>
      <c r="O304">
        <v>3000</v>
      </c>
      <c r="P304" t="str" cm="1">
        <f t="array" ref="P304">_xlfn.IFS(Hospital_Patient[[#This Row],[Age]]&lt;=18,"Young",Hospital_Patient[[#This Row],[Age]]&lt;=36,"Adult",Hospital_Patient[[#This Row],[Age]]&lt;=60,"Middle Age",Hospital_Patient[[#This Row],[Age]]&gt;60,"Senior")</f>
        <v>Middle Age</v>
      </c>
      <c r="Q304" t="str" cm="1">
        <f t="array" ref="Q3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04">
        <f>YEAR(Hospital_Patient[[#This Row],[Discharge_Date]])</f>
        <v>2024</v>
      </c>
    </row>
    <row r="305" spans="1:18" x14ac:dyDescent="0.25">
      <c r="A305">
        <v>454</v>
      </c>
      <c r="B305">
        <v>52</v>
      </c>
      <c r="C305" t="s">
        <v>15</v>
      </c>
      <c r="D305" t="s">
        <v>49</v>
      </c>
      <c r="E305" t="s">
        <v>50</v>
      </c>
      <c r="F305" s="5">
        <v>45537</v>
      </c>
      <c r="G305" s="5">
        <v>45569</v>
      </c>
      <c r="H305" t="s">
        <v>51</v>
      </c>
      <c r="I305">
        <v>2024</v>
      </c>
      <c r="J305">
        <v>32</v>
      </c>
      <c r="K305" t="s">
        <v>19</v>
      </c>
      <c r="L305" t="s">
        <v>26</v>
      </c>
      <c r="M305">
        <v>4</v>
      </c>
      <c r="N305" t="s">
        <v>19</v>
      </c>
      <c r="O305">
        <v>800</v>
      </c>
      <c r="P305" t="str" cm="1">
        <f t="array" ref="P305">_xlfn.IFS(Hospital_Patient[[#This Row],[Age]]&lt;=18,"Young",Hospital_Patient[[#This Row],[Age]]&lt;=36,"Adult",Hospital_Patient[[#This Row],[Age]]&lt;=60,"Middle Age",Hospital_Patient[[#This Row],[Age]]&gt;60,"Senior")</f>
        <v>Middle Age</v>
      </c>
      <c r="Q305" t="str" cm="1">
        <f t="array" ref="Q3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05">
        <f>YEAR(Hospital_Patient[[#This Row],[Discharge_Date]])</f>
        <v>2024</v>
      </c>
    </row>
    <row r="306" spans="1:18" x14ac:dyDescent="0.25">
      <c r="A306">
        <v>577</v>
      </c>
      <c r="B306">
        <v>55</v>
      </c>
      <c r="C306" t="s">
        <v>15</v>
      </c>
      <c r="D306" t="s">
        <v>16</v>
      </c>
      <c r="E306" t="s">
        <v>17</v>
      </c>
      <c r="F306" s="5">
        <v>45525</v>
      </c>
      <c r="G306" s="5">
        <v>45569</v>
      </c>
      <c r="H306" t="s">
        <v>18</v>
      </c>
      <c r="I306">
        <v>2024</v>
      </c>
      <c r="J306">
        <v>44</v>
      </c>
      <c r="K306" t="s">
        <v>21</v>
      </c>
      <c r="L306" t="s">
        <v>20</v>
      </c>
      <c r="M306">
        <v>3</v>
      </c>
      <c r="N306" t="s">
        <v>19</v>
      </c>
      <c r="O306">
        <v>15000</v>
      </c>
      <c r="P306" t="str" cm="1">
        <f t="array" ref="P306">_xlfn.IFS(Hospital_Patient[[#This Row],[Age]]&lt;=18,"Young",Hospital_Patient[[#This Row],[Age]]&lt;=36,"Adult",Hospital_Patient[[#This Row],[Age]]&lt;=60,"Middle Age",Hospital_Patient[[#This Row],[Age]]&gt;60,"Senior")</f>
        <v>Middle Age</v>
      </c>
      <c r="Q306" t="str" cm="1">
        <f t="array" ref="Q3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06">
        <f>YEAR(Hospital_Patient[[#This Row],[Discharge_Date]])</f>
        <v>2024</v>
      </c>
    </row>
    <row r="307" spans="1:18" x14ac:dyDescent="0.25">
      <c r="A307">
        <v>252</v>
      </c>
      <c r="B307">
        <v>55</v>
      </c>
      <c r="C307" t="s">
        <v>15</v>
      </c>
      <c r="D307" t="s">
        <v>16</v>
      </c>
      <c r="E307" t="s">
        <v>17</v>
      </c>
      <c r="F307" s="5">
        <v>45545</v>
      </c>
      <c r="G307" s="5">
        <v>45567</v>
      </c>
      <c r="H307" t="s">
        <v>18</v>
      </c>
      <c r="I307">
        <v>2024</v>
      </c>
      <c r="J307">
        <v>22</v>
      </c>
      <c r="K307" t="s">
        <v>21</v>
      </c>
      <c r="L307" t="s">
        <v>20</v>
      </c>
      <c r="M307">
        <v>3</v>
      </c>
      <c r="N307" t="s">
        <v>19</v>
      </c>
      <c r="O307">
        <v>15000</v>
      </c>
      <c r="P307" t="str" cm="1">
        <f t="array" ref="P307">_xlfn.IFS(Hospital_Patient[[#This Row],[Age]]&lt;=18,"Young",Hospital_Patient[[#This Row],[Age]]&lt;=36,"Adult",Hospital_Patient[[#This Row],[Age]]&lt;=60,"Middle Age",Hospital_Patient[[#This Row],[Age]]&gt;60,"Senior")</f>
        <v>Middle Age</v>
      </c>
      <c r="Q307" t="str" cm="1">
        <f t="array" ref="Q3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07">
        <f>YEAR(Hospital_Patient[[#This Row],[Discharge_Date]])</f>
        <v>2024</v>
      </c>
    </row>
    <row r="308" spans="1:18" hidden="1" x14ac:dyDescent="0.25">
      <c r="A308">
        <v>165</v>
      </c>
      <c r="B308">
        <v>62</v>
      </c>
      <c r="C308" t="s">
        <v>22</v>
      </c>
      <c r="D308" t="s">
        <v>23</v>
      </c>
      <c r="E308" t="s">
        <v>24</v>
      </c>
      <c r="F308" s="5">
        <v>45550</v>
      </c>
      <c r="G308" s="5">
        <v>45564</v>
      </c>
      <c r="H308" t="s">
        <v>61</v>
      </c>
      <c r="I308">
        <v>2024</v>
      </c>
      <c r="J308">
        <v>14</v>
      </c>
      <c r="K308" t="s">
        <v>19</v>
      </c>
      <c r="L308" t="s">
        <v>26</v>
      </c>
      <c r="M308">
        <v>4</v>
      </c>
      <c r="N308" t="s">
        <v>21</v>
      </c>
      <c r="O308">
        <v>2000</v>
      </c>
      <c r="P308" t="str" cm="1">
        <f t="array" ref="P308">_xlfn.IFS(Hospital_Patient[[#This Row],[Age]]&lt;=18,"Young",Hospital_Patient[[#This Row],[Age]]&lt;=36,"Adult",Hospital_Patient[[#This Row],[Age]]&lt;=60,"Middle Age",Hospital_Patient[[#This Row],[Age]]&gt;60,"Senior")</f>
        <v>Senior</v>
      </c>
      <c r="Q308" t="str" cm="1">
        <f t="array" ref="Q3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08">
        <f>YEAR(Hospital_Patient[[#This Row],[Discharge_Date]])</f>
        <v>2024</v>
      </c>
    </row>
    <row r="309" spans="1:18" hidden="1" x14ac:dyDescent="0.25">
      <c r="A309">
        <v>961</v>
      </c>
      <c r="B309">
        <v>62</v>
      </c>
      <c r="C309" t="s">
        <v>22</v>
      </c>
      <c r="D309" t="s">
        <v>23</v>
      </c>
      <c r="E309" t="s">
        <v>24</v>
      </c>
      <c r="F309" s="5">
        <v>45495</v>
      </c>
      <c r="G309" s="5">
        <v>45563</v>
      </c>
      <c r="H309" t="s">
        <v>18</v>
      </c>
      <c r="I309">
        <v>2024</v>
      </c>
      <c r="J309">
        <v>68</v>
      </c>
      <c r="K309" t="s">
        <v>19</v>
      </c>
      <c r="L309" t="s">
        <v>26</v>
      </c>
      <c r="M309">
        <v>4</v>
      </c>
      <c r="N309" t="s">
        <v>19</v>
      </c>
      <c r="O309">
        <v>2000</v>
      </c>
      <c r="P309" t="str" cm="1">
        <f t="array" ref="P309">_xlfn.IFS(Hospital_Patient[[#This Row],[Age]]&lt;=18,"Young",Hospital_Patient[[#This Row],[Age]]&lt;=36,"Adult",Hospital_Patient[[#This Row],[Age]]&lt;=60,"Middle Age",Hospital_Patient[[#This Row],[Age]]&gt;60,"Senior")</f>
        <v>Senior</v>
      </c>
      <c r="Q309" t="str" cm="1">
        <f t="array" ref="Q3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09">
        <f>YEAR(Hospital_Patient[[#This Row],[Discharge_Date]])</f>
        <v>2024</v>
      </c>
    </row>
    <row r="310" spans="1:18" x14ac:dyDescent="0.25">
      <c r="A310">
        <v>208</v>
      </c>
      <c r="B310">
        <v>48</v>
      </c>
      <c r="C310" t="s">
        <v>15</v>
      </c>
      <c r="D310" t="s">
        <v>16</v>
      </c>
      <c r="E310" t="s">
        <v>17</v>
      </c>
      <c r="F310" s="5">
        <v>45543</v>
      </c>
      <c r="G310" s="5">
        <v>45562</v>
      </c>
      <c r="H310" t="s">
        <v>18</v>
      </c>
      <c r="I310">
        <v>2024</v>
      </c>
      <c r="J310">
        <v>19</v>
      </c>
      <c r="K310" t="s">
        <v>21</v>
      </c>
      <c r="L310" t="s">
        <v>20</v>
      </c>
      <c r="M310">
        <v>4</v>
      </c>
      <c r="N310" t="s">
        <v>21</v>
      </c>
      <c r="O310">
        <v>15000</v>
      </c>
      <c r="P310" t="str" cm="1">
        <f t="array" ref="P310">_xlfn.IFS(Hospital_Patient[[#This Row],[Age]]&lt;=18,"Young",Hospital_Patient[[#This Row],[Age]]&lt;=36,"Adult",Hospital_Patient[[#This Row],[Age]]&lt;=60,"Middle Age",Hospital_Patient[[#This Row],[Age]]&gt;60,"Senior")</f>
        <v>Middle Age</v>
      </c>
      <c r="Q310" t="str" cm="1">
        <f t="array" ref="Q3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0">
        <f>YEAR(Hospital_Patient[[#This Row],[Discharge_Date]])</f>
        <v>2024</v>
      </c>
    </row>
    <row r="311" spans="1:18" x14ac:dyDescent="0.25">
      <c r="A311">
        <v>599</v>
      </c>
      <c r="B311">
        <v>78</v>
      </c>
      <c r="C311" t="s">
        <v>15</v>
      </c>
      <c r="D311" t="s">
        <v>45</v>
      </c>
      <c r="E311" t="s">
        <v>46</v>
      </c>
      <c r="F311" s="5">
        <v>45512</v>
      </c>
      <c r="G311" s="5">
        <v>45560</v>
      </c>
      <c r="H311" t="s">
        <v>18</v>
      </c>
      <c r="I311">
        <v>2024</v>
      </c>
      <c r="J311">
        <v>48</v>
      </c>
      <c r="K311" t="s">
        <v>21</v>
      </c>
      <c r="L311" t="s">
        <v>26</v>
      </c>
      <c r="M311">
        <v>2</v>
      </c>
      <c r="N311" t="s">
        <v>19</v>
      </c>
      <c r="O311">
        <v>18000</v>
      </c>
      <c r="P311" t="str" cm="1">
        <f t="array" ref="P311">_xlfn.IFS(Hospital_Patient[[#This Row],[Age]]&lt;=18,"Young",Hospital_Patient[[#This Row],[Age]]&lt;=36,"Adult",Hospital_Patient[[#This Row],[Age]]&lt;=60,"Middle Age",Hospital_Patient[[#This Row],[Age]]&gt;60,"Senior")</f>
        <v>Senior</v>
      </c>
      <c r="Q311" t="str" cm="1">
        <f t="array" ref="Q3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11">
        <f>YEAR(Hospital_Patient[[#This Row],[Discharge_Date]])</f>
        <v>2024</v>
      </c>
    </row>
    <row r="312" spans="1:18" hidden="1" x14ac:dyDescent="0.25">
      <c r="A312">
        <v>763</v>
      </c>
      <c r="B312">
        <v>28</v>
      </c>
      <c r="C312" t="s">
        <v>22</v>
      </c>
      <c r="D312" t="s">
        <v>47</v>
      </c>
      <c r="E312" t="s">
        <v>48</v>
      </c>
      <c r="F312" s="5">
        <v>45507</v>
      </c>
      <c r="G312" s="5">
        <v>45559</v>
      </c>
      <c r="H312" t="s">
        <v>73</v>
      </c>
      <c r="I312">
        <v>2024</v>
      </c>
      <c r="J312">
        <v>52</v>
      </c>
      <c r="K312" t="s">
        <v>19</v>
      </c>
      <c r="L312" t="s">
        <v>20</v>
      </c>
      <c r="M312">
        <v>5</v>
      </c>
      <c r="N312" t="s">
        <v>19</v>
      </c>
      <c r="O312">
        <v>100</v>
      </c>
      <c r="P312" t="str" cm="1">
        <f t="array" ref="P312">_xlfn.IFS(Hospital_Patient[[#This Row],[Age]]&lt;=18,"Young",Hospital_Patient[[#This Row],[Age]]&lt;=36,"Adult",Hospital_Patient[[#This Row],[Age]]&lt;=60,"Middle Age",Hospital_Patient[[#This Row],[Age]]&gt;60,"Senior")</f>
        <v>Adult</v>
      </c>
      <c r="Q312" t="str" cm="1">
        <f t="array" ref="Q3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12">
        <f>YEAR(Hospital_Patient[[#This Row],[Discharge_Date]])</f>
        <v>2024</v>
      </c>
    </row>
    <row r="313" spans="1:18" hidden="1" x14ac:dyDescent="0.25">
      <c r="A313">
        <v>204</v>
      </c>
      <c r="B313">
        <v>67</v>
      </c>
      <c r="C313" t="s">
        <v>22</v>
      </c>
      <c r="D313" t="s">
        <v>52</v>
      </c>
      <c r="E313" t="s">
        <v>53</v>
      </c>
      <c r="F313" s="5">
        <v>45534</v>
      </c>
      <c r="G313" s="5">
        <v>45556</v>
      </c>
      <c r="H313" t="s">
        <v>41</v>
      </c>
      <c r="I313">
        <v>2024</v>
      </c>
      <c r="J313">
        <v>22</v>
      </c>
      <c r="K313" t="s">
        <v>19</v>
      </c>
      <c r="L313" t="s">
        <v>20</v>
      </c>
      <c r="M313">
        <v>3</v>
      </c>
      <c r="N313" t="s">
        <v>19</v>
      </c>
      <c r="O313">
        <v>20000</v>
      </c>
      <c r="P313" t="str" cm="1">
        <f t="array" ref="P313">_xlfn.IFS(Hospital_Patient[[#This Row],[Age]]&lt;=18,"Young",Hospital_Patient[[#This Row],[Age]]&lt;=36,"Adult",Hospital_Patient[[#This Row],[Age]]&lt;=60,"Middle Age",Hospital_Patient[[#This Row],[Age]]&gt;60,"Senior")</f>
        <v>Senior</v>
      </c>
      <c r="Q313" t="str" cm="1">
        <f t="array" ref="Q3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3">
        <f>YEAR(Hospital_Patient[[#This Row],[Discharge_Date]])</f>
        <v>2024</v>
      </c>
    </row>
    <row r="314" spans="1:18" hidden="1" x14ac:dyDescent="0.25">
      <c r="A314">
        <v>141</v>
      </c>
      <c r="B314">
        <v>45</v>
      </c>
      <c r="C314" t="s">
        <v>22</v>
      </c>
      <c r="D314" t="s">
        <v>42</v>
      </c>
      <c r="E314" t="s">
        <v>43</v>
      </c>
      <c r="F314" s="5">
        <v>45540</v>
      </c>
      <c r="G314" s="5">
        <v>45555</v>
      </c>
      <c r="H314" t="s">
        <v>44</v>
      </c>
      <c r="I314">
        <v>2024</v>
      </c>
      <c r="J314">
        <v>15</v>
      </c>
      <c r="K314" t="s">
        <v>19</v>
      </c>
      <c r="L314" t="s">
        <v>20</v>
      </c>
      <c r="M314">
        <v>4</v>
      </c>
      <c r="N314" t="s">
        <v>21</v>
      </c>
      <c r="O314">
        <v>3000</v>
      </c>
      <c r="P314" t="str" cm="1">
        <f t="array" ref="P314">_xlfn.IFS(Hospital_Patient[[#This Row],[Age]]&lt;=18,"Young",Hospital_Patient[[#This Row],[Age]]&lt;=36,"Adult",Hospital_Patient[[#This Row],[Age]]&lt;=60,"Middle Age",Hospital_Patient[[#This Row],[Age]]&gt;60,"Senior")</f>
        <v>Middle Age</v>
      </c>
      <c r="Q314" t="str" cm="1">
        <f t="array" ref="Q3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4">
        <f>YEAR(Hospital_Patient[[#This Row],[Discharge_Date]])</f>
        <v>2024</v>
      </c>
    </row>
    <row r="315" spans="1:18" hidden="1" x14ac:dyDescent="0.25">
      <c r="A315">
        <v>499</v>
      </c>
      <c r="B315">
        <v>67</v>
      </c>
      <c r="C315" t="s">
        <v>22</v>
      </c>
      <c r="D315" t="s">
        <v>52</v>
      </c>
      <c r="E315" t="s">
        <v>53</v>
      </c>
      <c r="F315" s="5">
        <v>45513</v>
      </c>
      <c r="G315" s="5">
        <v>45555</v>
      </c>
      <c r="H315" t="s">
        <v>67</v>
      </c>
      <c r="I315">
        <v>2024</v>
      </c>
      <c r="J315">
        <v>42</v>
      </c>
      <c r="K315" t="s">
        <v>19</v>
      </c>
      <c r="L315" t="s">
        <v>20</v>
      </c>
      <c r="M315">
        <v>3</v>
      </c>
      <c r="N315" t="s">
        <v>19</v>
      </c>
      <c r="O315">
        <v>20000</v>
      </c>
      <c r="P315" t="str" cm="1">
        <f t="array" ref="P315">_xlfn.IFS(Hospital_Patient[[#This Row],[Age]]&lt;=18,"Young",Hospital_Patient[[#This Row],[Age]]&lt;=36,"Adult",Hospital_Patient[[#This Row],[Age]]&lt;=60,"Middle Age",Hospital_Patient[[#This Row],[Age]]&gt;60,"Senior")</f>
        <v>Senior</v>
      </c>
      <c r="Q315" t="str" cm="1">
        <f t="array" ref="Q3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15">
        <f>YEAR(Hospital_Patient[[#This Row],[Discharge_Date]])</f>
        <v>2024</v>
      </c>
    </row>
    <row r="316" spans="1:18" hidden="1" x14ac:dyDescent="0.25">
      <c r="A316">
        <v>278</v>
      </c>
      <c r="B316">
        <v>58</v>
      </c>
      <c r="C316" t="s">
        <v>22</v>
      </c>
      <c r="D316" t="s">
        <v>52</v>
      </c>
      <c r="E316" t="s">
        <v>53</v>
      </c>
      <c r="F316" s="5">
        <v>45527</v>
      </c>
      <c r="G316" s="5">
        <v>45554</v>
      </c>
      <c r="H316" t="s">
        <v>67</v>
      </c>
      <c r="I316">
        <v>2024</v>
      </c>
      <c r="J316">
        <v>27</v>
      </c>
      <c r="K316" t="s">
        <v>19</v>
      </c>
      <c r="L316" t="s">
        <v>20</v>
      </c>
      <c r="M316">
        <v>3</v>
      </c>
      <c r="N316" t="s">
        <v>21</v>
      </c>
      <c r="O316">
        <v>20000</v>
      </c>
      <c r="P316" t="str" cm="1">
        <f t="array" ref="P316">_xlfn.IFS(Hospital_Patient[[#This Row],[Age]]&lt;=18,"Young",Hospital_Patient[[#This Row],[Age]]&lt;=36,"Adult",Hospital_Patient[[#This Row],[Age]]&lt;=60,"Middle Age",Hospital_Patient[[#This Row],[Age]]&gt;60,"Senior")</f>
        <v>Middle Age</v>
      </c>
      <c r="Q316" t="str" cm="1">
        <f t="array" ref="Q3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6">
        <f>YEAR(Hospital_Patient[[#This Row],[Discharge_Date]])</f>
        <v>2024</v>
      </c>
    </row>
    <row r="317" spans="1:18" hidden="1" x14ac:dyDescent="0.25">
      <c r="A317">
        <v>442</v>
      </c>
      <c r="B317">
        <v>50</v>
      </c>
      <c r="C317" t="s">
        <v>22</v>
      </c>
      <c r="D317" t="s">
        <v>57</v>
      </c>
      <c r="E317" t="s">
        <v>58</v>
      </c>
      <c r="F317" s="5">
        <v>45521</v>
      </c>
      <c r="G317" s="5">
        <v>45554</v>
      </c>
      <c r="H317" t="s">
        <v>77</v>
      </c>
      <c r="I317">
        <v>2024</v>
      </c>
      <c r="J317">
        <v>33</v>
      </c>
      <c r="K317" t="s">
        <v>19</v>
      </c>
      <c r="L317" t="s">
        <v>20</v>
      </c>
      <c r="M317">
        <v>3</v>
      </c>
      <c r="N317" t="s">
        <v>19</v>
      </c>
      <c r="O317">
        <v>6000</v>
      </c>
      <c r="P317" t="str" cm="1">
        <f t="array" ref="P317">_xlfn.IFS(Hospital_Patient[[#This Row],[Age]]&lt;=18,"Young",Hospital_Patient[[#This Row],[Age]]&lt;=36,"Adult",Hospital_Patient[[#This Row],[Age]]&lt;=60,"Middle Age",Hospital_Patient[[#This Row],[Age]]&gt;60,"Senior")</f>
        <v>Middle Age</v>
      </c>
      <c r="Q317" t="str" cm="1">
        <f t="array" ref="Q3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17">
        <f>YEAR(Hospital_Patient[[#This Row],[Discharge_Date]])</f>
        <v>2024</v>
      </c>
    </row>
    <row r="318" spans="1:18" x14ac:dyDescent="0.25">
      <c r="A318">
        <v>431</v>
      </c>
      <c r="B318">
        <v>35</v>
      </c>
      <c r="C318" t="s">
        <v>15</v>
      </c>
      <c r="D318" t="s">
        <v>27</v>
      </c>
      <c r="E318" t="s">
        <v>28</v>
      </c>
      <c r="F318" s="5">
        <v>45523</v>
      </c>
      <c r="G318" s="5">
        <v>45553</v>
      </c>
      <c r="H318" t="s">
        <v>29</v>
      </c>
      <c r="I318">
        <v>2024</v>
      </c>
      <c r="J318">
        <v>30</v>
      </c>
      <c r="K318" t="s">
        <v>21</v>
      </c>
      <c r="L318" t="s">
        <v>20</v>
      </c>
      <c r="M318">
        <v>5</v>
      </c>
      <c r="N318" t="s">
        <v>21</v>
      </c>
      <c r="O318">
        <v>500</v>
      </c>
      <c r="P318" t="str" cm="1">
        <f t="array" ref="P318">_xlfn.IFS(Hospital_Patient[[#This Row],[Age]]&lt;=18,"Young",Hospital_Patient[[#This Row],[Age]]&lt;=36,"Adult",Hospital_Patient[[#This Row],[Age]]&lt;=60,"Middle Age",Hospital_Patient[[#This Row],[Age]]&gt;60,"Senior")</f>
        <v>Adult</v>
      </c>
      <c r="Q318" t="str" cm="1">
        <f t="array" ref="Q3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8">
        <f>YEAR(Hospital_Patient[[#This Row],[Discharge_Date]])</f>
        <v>2024</v>
      </c>
    </row>
    <row r="319" spans="1:18" hidden="1" x14ac:dyDescent="0.25">
      <c r="A319">
        <v>215</v>
      </c>
      <c r="B319">
        <v>40</v>
      </c>
      <c r="C319" t="s">
        <v>22</v>
      </c>
      <c r="D319" t="s">
        <v>42</v>
      </c>
      <c r="E319" t="s">
        <v>43</v>
      </c>
      <c r="F319" s="5">
        <v>45532</v>
      </c>
      <c r="G319" s="5">
        <v>45552</v>
      </c>
      <c r="H319" t="s">
        <v>44</v>
      </c>
      <c r="I319">
        <v>2024</v>
      </c>
      <c r="J319">
        <v>20</v>
      </c>
      <c r="K319" t="s">
        <v>19</v>
      </c>
      <c r="L319" t="s">
        <v>20</v>
      </c>
      <c r="M319">
        <v>4</v>
      </c>
      <c r="N319" t="s">
        <v>19</v>
      </c>
      <c r="O319">
        <v>3000</v>
      </c>
      <c r="P319" t="str" cm="1">
        <f t="array" ref="P319">_xlfn.IFS(Hospital_Patient[[#This Row],[Age]]&lt;=18,"Young",Hospital_Patient[[#This Row],[Age]]&lt;=36,"Adult",Hospital_Patient[[#This Row],[Age]]&lt;=60,"Middle Age",Hospital_Patient[[#This Row],[Age]]&gt;60,"Senior")</f>
        <v>Middle Age</v>
      </c>
      <c r="Q319" t="str" cm="1">
        <f t="array" ref="Q3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19">
        <f>YEAR(Hospital_Patient[[#This Row],[Discharge_Date]])</f>
        <v>2024</v>
      </c>
    </row>
    <row r="320" spans="1:18" x14ac:dyDescent="0.25">
      <c r="A320">
        <v>199</v>
      </c>
      <c r="B320">
        <v>60</v>
      </c>
      <c r="C320" t="s">
        <v>15</v>
      </c>
      <c r="D320" t="s">
        <v>39</v>
      </c>
      <c r="E320" t="s">
        <v>40</v>
      </c>
      <c r="F320" s="5">
        <v>45534</v>
      </c>
      <c r="G320" s="5">
        <v>45551</v>
      </c>
      <c r="H320" t="s">
        <v>73</v>
      </c>
      <c r="I320">
        <v>2024</v>
      </c>
      <c r="J320">
        <v>17</v>
      </c>
      <c r="K320" t="s">
        <v>21</v>
      </c>
      <c r="L320" t="s">
        <v>20</v>
      </c>
      <c r="M320">
        <v>3</v>
      </c>
      <c r="N320" t="s">
        <v>19</v>
      </c>
      <c r="O320">
        <v>8000</v>
      </c>
      <c r="P320" t="str" cm="1">
        <f t="array" ref="P320">_xlfn.IFS(Hospital_Patient[[#This Row],[Age]]&lt;=18,"Young",Hospital_Patient[[#This Row],[Age]]&lt;=36,"Adult",Hospital_Patient[[#This Row],[Age]]&lt;=60,"Middle Age",Hospital_Patient[[#This Row],[Age]]&gt;60,"Senior")</f>
        <v>Middle Age</v>
      </c>
      <c r="Q320" t="str" cm="1">
        <f t="array" ref="Q3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20">
        <f>YEAR(Hospital_Patient[[#This Row],[Discharge_Date]])</f>
        <v>2024</v>
      </c>
    </row>
    <row r="321" spans="1:18" hidden="1" x14ac:dyDescent="0.25">
      <c r="A321">
        <v>137</v>
      </c>
      <c r="B321">
        <v>78</v>
      </c>
      <c r="C321" t="s">
        <v>22</v>
      </c>
      <c r="D321" t="s">
        <v>30</v>
      </c>
      <c r="E321" t="s">
        <v>31</v>
      </c>
      <c r="F321" s="5">
        <v>45534</v>
      </c>
      <c r="G321" s="5">
        <v>45550</v>
      </c>
      <c r="H321" t="s">
        <v>67</v>
      </c>
      <c r="I321">
        <v>2024</v>
      </c>
      <c r="J321">
        <v>16</v>
      </c>
      <c r="K321" t="s">
        <v>19</v>
      </c>
      <c r="L321" t="s">
        <v>26</v>
      </c>
      <c r="M321">
        <v>2</v>
      </c>
      <c r="N321" t="s">
        <v>19</v>
      </c>
      <c r="O321">
        <v>10000</v>
      </c>
      <c r="P321" t="str" cm="1">
        <f t="array" ref="P321">_xlfn.IFS(Hospital_Patient[[#This Row],[Age]]&lt;=18,"Young",Hospital_Patient[[#This Row],[Age]]&lt;=36,"Adult",Hospital_Patient[[#This Row],[Age]]&lt;=60,"Middle Age",Hospital_Patient[[#This Row],[Age]]&gt;60,"Senior")</f>
        <v>Senior</v>
      </c>
      <c r="Q321" t="str" cm="1">
        <f t="array" ref="Q3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21">
        <f>YEAR(Hospital_Patient[[#This Row],[Discharge_Date]])</f>
        <v>2024</v>
      </c>
    </row>
    <row r="322" spans="1:18" hidden="1" x14ac:dyDescent="0.25">
      <c r="A322">
        <v>687</v>
      </c>
      <c r="B322">
        <v>40</v>
      </c>
      <c r="C322" t="s">
        <v>22</v>
      </c>
      <c r="D322" t="s">
        <v>42</v>
      </c>
      <c r="E322" t="s">
        <v>43</v>
      </c>
      <c r="F322" s="5">
        <v>45498</v>
      </c>
      <c r="G322" s="5">
        <v>45550</v>
      </c>
      <c r="H322" t="s">
        <v>44</v>
      </c>
      <c r="I322">
        <v>2024</v>
      </c>
      <c r="J322">
        <v>52</v>
      </c>
      <c r="K322" t="s">
        <v>19</v>
      </c>
      <c r="L322" t="s">
        <v>20</v>
      </c>
      <c r="M322">
        <v>4</v>
      </c>
      <c r="N322" t="s">
        <v>19</v>
      </c>
      <c r="O322">
        <v>3000</v>
      </c>
      <c r="P322" t="str" cm="1">
        <f t="array" ref="P322">_xlfn.IFS(Hospital_Patient[[#This Row],[Age]]&lt;=18,"Young",Hospital_Patient[[#This Row],[Age]]&lt;=36,"Adult",Hospital_Patient[[#This Row],[Age]]&lt;=60,"Middle Age",Hospital_Patient[[#This Row],[Age]]&gt;60,"Senior")</f>
        <v>Middle Age</v>
      </c>
      <c r="Q322" t="str" cm="1">
        <f t="array" ref="Q3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22">
        <f>YEAR(Hospital_Patient[[#This Row],[Discharge_Date]])</f>
        <v>2024</v>
      </c>
    </row>
    <row r="323" spans="1:18" hidden="1" x14ac:dyDescent="0.25">
      <c r="A323">
        <v>103</v>
      </c>
      <c r="B323">
        <v>55</v>
      </c>
      <c r="C323" t="s">
        <v>22</v>
      </c>
      <c r="D323" t="s">
        <v>57</v>
      </c>
      <c r="E323" t="s">
        <v>58</v>
      </c>
      <c r="F323" s="5">
        <v>45537</v>
      </c>
      <c r="G323" s="5">
        <v>45547</v>
      </c>
      <c r="H323" t="s">
        <v>51</v>
      </c>
      <c r="I323">
        <v>2024</v>
      </c>
      <c r="J323">
        <v>10</v>
      </c>
      <c r="K323" t="s">
        <v>19</v>
      </c>
      <c r="L323" t="s">
        <v>20</v>
      </c>
      <c r="M323">
        <v>3</v>
      </c>
      <c r="N323" t="s">
        <v>19</v>
      </c>
      <c r="O323">
        <v>6000</v>
      </c>
      <c r="P323" t="str" cm="1">
        <f t="array" ref="P323">_xlfn.IFS(Hospital_Patient[[#This Row],[Age]]&lt;=18,"Young",Hospital_Patient[[#This Row],[Age]]&lt;=36,"Adult",Hospital_Patient[[#This Row],[Age]]&lt;=60,"Middle Age",Hospital_Patient[[#This Row],[Age]]&gt;60,"Senior")</f>
        <v>Middle Age</v>
      </c>
      <c r="Q323" t="str" cm="1">
        <f t="array" ref="Q3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23">
        <f>YEAR(Hospital_Patient[[#This Row],[Discharge_Date]])</f>
        <v>2024</v>
      </c>
    </row>
    <row r="324" spans="1:18" x14ac:dyDescent="0.25">
      <c r="A324">
        <v>384</v>
      </c>
      <c r="B324">
        <v>60</v>
      </c>
      <c r="C324" t="s">
        <v>15</v>
      </c>
      <c r="D324" t="s">
        <v>59</v>
      </c>
      <c r="E324" t="s">
        <v>60</v>
      </c>
      <c r="F324" s="5">
        <v>45516</v>
      </c>
      <c r="G324" s="5">
        <v>45546</v>
      </c>
      <c r="H324" t="s">
        <v>61</v>
      </c>
      <c r="I324">
        <v>2024</v>
      </c>
      <c r="J324">
        <v>30</v>
      </c>
      <c r="K324" t="s">
        <v>19</v>
      </c>
      <c r="L324" t="s">
        <v>26</v>
      </c>
      <c r="M324">
        <v>4</v>
      </c>
      <c r="N324" t="s">
        <v>19</v>
      </c>
      <c r="O324">
        <v>4000</v>
      </c>
      <c r="P324" t="str" cm="1">
        <f t="array" ref="P324">_xlfn.IFS(Hospital_Patient[[#This Row],[Age]]&lt;=18,"Young",Hospital_Patient[[#This Row],[Age]]&lt;=36,"Adult",Hospital_Patient[[#This Row],[Age]]&lt;=60,"Middle Age",Hospital_Patient[[#This Row],[Age]]&gt;60,"Senior")</f>
        <v>Middle Age</v>
      </c>
      <c r="Q324" t="str" cm="1">
        <f t="array" ref="Q3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24">
        <f>YEAR(Hospital_Patient[[#This Row],[Discharge_Date]])</f>
        <v>2024</v>
      </c>
    </row>
    <row r="325" spans="1:18" hidden="1" x14ac:dyDescent="0.25">
      <c r="A325">
        <v>678</v>
      </c>
      <c r="B325">
        <v>50</v>
      </c>
      <c r="C325" t="s">
        <v>22</v>
      </c>
      <c r="D325" t="s">
        <v>57</v>
      </c>
      <c r="E325" t="s">
        <v>58</v>
      </c>
      <c r="F325" s="5">
        <v>45494</v>
      </c>
      <c r="G325" s="5">
        <v>45543</v>
      </c>
      <c r="H325" t="s">
        <v>77</v>
      </c>
      <c r="I325">
        <v>2024</v>
      </c>
      <c r="J325">
        <v>49</v>
      </c>
      <c r="K325" t="s">
        <v>19</v>
      </c>
      <c r="L325" t="s">
        <v>20</v>
      </c>
      <c r="M325">
        <v>3</v>
      </c>
      <c r="N325" t="s">
        <v>19</v>
      </c>
      <c r="O325">
        <v>6000</v>
      </c>
      <c r="P325" t="str" cm="1">
        <f t="array" ref="P325">_xlfn.IFS(Hospital_Patient[[#This Row],[Age]]&lt;=18,"Young",Hospital_Patient[[#This Row],[Age]]&lt;=36,"Adult",Hospital_Patient[[#This Row],[Age]]&lt;=60,"Middle Age",Hospital_Patient[[#This Row],[Age]]&gt;60,"Senior")</f>
        <v>Middle Age</v>
      </c>
      <c r="Q325" t="str" cm="1">
        <f t="array" ref="Q3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25">
        <f>YEAR(Hospital_Patient[[#This Row],[Discharge_Date]])</f>
        <v>2024</v>
      </c>
    </row>
    <row r="326" spans="1:18" x14ac:dyDescent="0.25">
      <c r="A326">
        <v>104</v>
      </c>
      <c r="B326">
        <v>65</v>
      </c>
      <c r="C326" t="s">
        <v>15</v>
      </c>
      <c r="D326" t="s">
        <v>59</v>
      </c>
      <c r="E326" t="s">
        <v>60</v>
      </c>
      <c r="F326" s="5">
        <v>45531</v>
      </c>
      <c r="G326" s="5">
        <v>45542</v>
      </c>
      <c r="H326" t="s">
        <v>73</v>
      </c>
      <c r="I326">
        <v>2024</v>
      </c>
      <c r="J326">
        <v>11</v>
      </c>
      <c r="K326" t="s">
        <v>19</v>
      </c>
      <c r="L326" t="s">
        <v>26</v>
      </c>
      <c r="M326">
        <v>4</v>
      </c>
      <c r="N326" t="s">
        <v>19</v>
      </c>
      <c r="O326">
        <v>4000</v>
      </c>
      <c r="P326" t="str" cm="1">
        <f t="array" ref="P326">_xlfn.IFS(Hospital_Patient[[#This Row],[Age]]&lt;=18,"Young",Hospital_Patient[[#This Row],[Age]]&lt;=36,"Adult",Hospital_Patient[[#This Row],[Age]]&lt;=60,"Middle Age",Hospital_Patient[[#This Row],[Age]]&gt;60,"Senior")</f>
        <v>Senior</v>
      </c>
      <c r="Q326" t="str" cm="1">
        <f t="array" ref="Q3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26">
        <f>YEAR(Hospital_Patient[[#This Row],[Discharge_Date]])</f>
        <v>2024</v>
      </c>
    </row>
    <row r="327" spans="1:18" x14ac:dyDescent="0.25">
      <c r="A327">
        <v>113</v>
      </c>
      <c r="B327">
        <v>75</v>
      </c>
      <c r="C327" t="s">
        <v>15</v>
      </c>
      <c r="D327" t="s">
        <v>45</v>
      </c>
      <c r="E327" t="s">
        <v>46</v>
      </c>
      <c r="F327" s="5">
        <v>45527</v>
      </c>
      <c r="G327" s="5">
        <v>45542</v>
      </c>
      <c r="H327" t="s">
        <v>69</v>
      </c>
      <c r="I327">
        <v>2024</v>
      </c>
      <c r="J327">
        <v>15</v>
      </c>
      <c r="K327" t="s">
        <v>21</v>
      </c>
      <c r="L327" t="s">
        <v>26</v>
      </c>
      <c r="M327">
        <v>2</v>
      </c>
      <c r="N327" t="s">
        <v>21</v>
      </c>
      <c r="O327">
        <v>18000</v>
      </c>
      <c r="P327" t="str" cm="1">
        <f t="array" ref="P327">_xlfn.IFS(Hospital_Patient[[#This Row],[Age]]&lt;=18,"Young",Hospital_Patient[[#This Row],[Age]]&lt;=36,"Adult",Hospital_Patient[[#This Row],[Age]]&lt;=60,"Middle Age",Hospital_Patient[[#This Row],[Age]]&gt;60,"Senior")</f>
        <v>Senior</v>
      </c>
      <c r="Q327" t="str" cm="1">
        <f t="array" ref="Q3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27">
        <f>YEAR(Hospital_Patient[[#This Row],[Discharge_Date]])</f>
        <v>2024</v>
      </c>
    </row>
    <row r="328" spans="1:18" hidden="1" x14ac:dyDescent="0.25">
      <c r="A328">
        <v>512</v>
      </c>
      <c r="B328">
        <v>25</v>
      </c>
      <c r="C328" t="s">
        <v>22</v>
      </c>
      <c r="D328" t="s">
        <v>47</v>
      </c>
      <c r="E328" t="s">
        <v>48</v>
      </c>
      <c r="F328" s="5">
        <v>45507</v>
      </c>
      <c r="G328" s="5">
        <v>45542</v>
      </c>
      <c r="H328" t="s">
        <v>74</v>
      </c>
      <c r="I328">
        <v>2024</v>
      </c>
      <c r="J328">
        <v>35</v>
      </c>
      <c r="K328" t="s">
        <v>19</v>
      </c>
      <c r="L328" t="s">
        <v>20</v>
      </c>
      <c r="M328">
        <v>5</v>
      </c>
      <c r="N328" t="s">
        <v>21</v>
      </c>
      <c r="O328">
        <v>100</v>
      </c>
      <c r="P328" t="str" cm="1">
        <f t="array" ref="P328">_xlfn.IFS(Hospital_Patient[[#This Row],[Age]]&lt;=18,"Young",Hospital_Patient[[#This Row],[Age]]&lt;=36,"Adult",Hospital_Patient[[#This Row],[Age]]&lt;=60,"Middle Age",Hospital_Patient[[#This Row],[Age]]&gt;60,"Senior")</f>
        <v>Adult</v>
      </c>
      <c r="Q328" t="str" cm="1">
        <f t="array" ref="Q3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28">
        <f>YEAR(Hospital_Patient[[#This Row],[Discharge_Date]])</f>
        <v>2024</v>
      </c>
    </row>
    <row r="329" spans="1:18" x14ac:dyDescent="0.25">
      <c r="A329">
        <v>370</v>
      </c>
      <c r="B329">
        <v>55</v>
      </c>
      <c r="C329" t="s">
        <v>15</v>
      </c>
      <c r="D329" t="s">
        <v>16</v>
      </c>
      <c r="E329" t="s">
        <v>17</v>
      </c>
      <c r="F329" s="5">
        <v>45509</v>
      </c>
      <c r="G329" s="5">
        <v>45539</v>
      </c>
      <c r="H329" t="s">
        <v>73</v>
      </c>
      <c r="I329">
        <v>2024</v>
      </c>
      <c r="J329">
        <v>30</v>
      </c>
      <c r="K329" t="s">
        <v>21</v>
      </c>
      <c r="L329" t="s">
        <v>20</v>
      </c>
      <c r="M329">
        <v>3</v>
      </c>
      <c r="N329" t="s">
        <v>19</v>
      </c>
      <c r="O329">
        <v>15000</v>
      </c>
      <c r="P329" t="str" cm="1">
        <f t="array" ref="P329">_xlfn.IFS(Hospital_Patient[[#This Row],[Age]]&lt;=18,"Young",Hospital_Patient[[#This Row],[Age]]&lt;=36,"Adult",Hospital_Patient[[#This Row],[Age]]&lt;=60,"Middle Age",Hospital_Patient[[#This Row],[Age]]&gt;60,"Senior")</f>
        <v>Middle Age</v>
      </c>
      <c r="Q329" t="str" cm="1">
        <f t="array" ref="Q3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29">
        <f>YEAR(Hospital_Patient[[#This Row],[Discharge_Date]])</f>
        <v>2024</v>
      </c>
    </row>
    <row r="330" spans="1:18" hidden="1" x14ac:dyDescent="0.25">
      <c r="A330">
        <v>514</v>
      </c>
      <c r="B330">
        <v>58</v>
      </c>
      <c r="C330" t="s">
        <v>22</v>
      </c>
      <c r="D330" t="s">
        <v>52</v>
      </c>
      <c r="E330" t="s">
        <v>53</v>
      </c>
      <c r="F330" s="5">
        <v>45494</v>
      </c>
      <c r="G330" s="5">
        <v>45537</v>
      </c>
      <c r="H330" t="s">
        <v>18</v>
      </c>
      <c r="I330">
        <v>2024</v>
      </c>
      <c r="J330">
        <v>43</v>
      </c>
      <c r="K330" t="s">
        <v>19</v>
      </c>
      <c r="L330" t="s">
        <v>20</v>
      </c>
      <c r="M330">
        <v>3</v>
      </c>
      <c r="N330" t="s">
        <v>19</v>
      </c>
      <c r="O330">
        <v>20000</v>
      </c>
      <c r="P330" t="str" cm="1">
        <f t="array" ref="P330">_xlfn.IFS(Hospital_Patient[[#This Row],[Age]]&lt;=18,"Young",Hospital_Patient[[#This Row],[Age]]&lt;=36,"Adult",Hospital_Patient[[#This Row],[Age]]&lt;=60,"Middle Age",Hospital_Patient[[#This Row],[Age]]&gt;60,"Senior")</f>
        <v>Middle Age</v>
      </c>
      <c r="Q330" t="str" cm="1">
        <f t="array" ref="Q3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30">
        <f>YEAR(Hospital_Patient[[#This Row],[Discharge_Date]])</f>
        <v>2024</v>
      </c>
    </row>
    <row r="331" spans="1:18" hidden="1" x14ac:dyDescent="0.25">
      <c r="A331">
        <v>925</v>
      </c>
      <c r="B331">
        <v>25</v>
      </c>
      <c r="C331" t="s">
        <v>22</v>
      </c>
      <c r="D331" t="s">
        <v>47</v>
      </c>
      <c r="E331" t="s">
        <v>48</v>
      </c>
      <c r="F331" s="5">
        <v>45473</v>
      </c>
      <c r="G331" s="5">
        <v>45536</v>
      </c>
      <c r="H331" t="s">
        <v>41</v>
      </c>
      <c r="I331">
        <v>2024</v>
      </c>
      <c r="J331">
        <v>63</v>
      </c>
      <c r="K331" t="s">
        <v>19</v>
      </c>
      <c r="L331" t="s">
        <v>20</v>
      </c>
      <c r="M331">
        <v>5</v>
      </c>
      <c r="N331" t="s">
        <v>19</v>
      </c>
      <c r="O331">
        <v>100</v>
      </c>
      <c r="P331" t="str" cm="1">
        <f t="array" ref="P331">_xlfn.IFS(Hospital_Patient[[#This Row],[Age]]&lt;=18,"Young",Hospital_Patient[[#This Row],[Age]]&lt;=36,"Adult",Hospital_Patient[[#This Row],[Age]]&lt;=60,"Middle Age",Hospital_Patient[[#This Row],[Age]]&gt;60,"Senior")</f>
        <v>Adult</v>
      </c>
      <c r="Q331" t="str" cm="1">
        <f t="array" ref="Q3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31">
        <f>YEAR(Hospital_Patient[[#This Row],[Discharge_Date]])</f>
        <v>2024</v>
      </c>
    </row>
    <row r="332" spans="1:18" x14ac:dyDescent="0.25">
      <c r="A332">
        <v>397</v>
      </c>
      <c r="B332">
        <v>32</v>
      </c>
      <c r="C332" t="s">
        <v>15</v>
      </c>
      <c r="D332" t="s">
        <v>54</v>
      </c>
      <c r="E332" t="s">
        <v>55</v>
      </c>
      <c r="F332" s="5">
        <v>45506</v>
      </c>
      <c r="G332" s="5">
        <v>45535</v>
      </c>
      <c r="H332" t="s">
        <v>68</v>
      </c>
      <c r="I332">
        <v>2024</v>
      </c>
      <c r="J332">
        <v>29</v>
      </c>
      <c r="K332" t="s">
        <v>19</v>
      </c>
      <c r="L332" t="s">
        <v>20</v>
      </c>
      <c r="M332">
        <v>4</v>
      </c>
      <c r="N332" t="s">
        <v>19</v>
      </c>
      <c r="O332">
        <v>12000</v>
      </c>
      <c r="P332" t="str" cm="1">
        <f t="array" ref="P332">_xlfn.IFS(Hospital_Patient[[#This Row],[Age]]&lt;=18,"Young",Hospital_Patient[[#This Row],[Age]]&lt;=36,"Adult",Hospital_Patient[[#This Row],[Age]]&lt;=60,"Middle Age",Hospital_Patient[[#This Row],[Age]]&gt;60,"Senior")</f>
        <v>Adult</v>
      </c>
      <c r="Q332" t="str" cm="1">
        <f t="array" ref="Q3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32">
        <f>YEAR(Hospital_Patient[[#This Row],[Discharge_Date]])</f>
        <v>2024</v>
      </c>
    </row>
    <row r="333" spans="1:18" hidden="1" x14ac:dyDescent="0.25">
      <c r="A333">
        <v>239</v>
      </c>
      <c r="B333">
        <v>65</v>
      </c>
      <c r="C333" t="s">
        <v>22</v>
      </c>
      <c r="D333" t="s">
        <v>23</v>
      </c>
      <c r="E333" t="s">
        <v>24</v>
      </c>
      <c r="F333" s="5">
        <v>45514</v>
      </c>
      <c r="G333" s="5">
        <v>45533</v>
      </c>
      <c r="H333" t="s">
        <v>73</v>
      </c>
      <c r="I333">
        <v>2024</v>
      </c>
      <c r="J333">
        <v>19</v>
      </c>
      <c r="K333" t="s">
        <v>19</v>
      </c>
      <c r="L333" t="s">
        <v>26</v>
      </c>
      <c r="M333">
        <v>3</v>
      </c>
      <c r="N333" t="s">
        <v>21</v>
      </c>
      <c r="O333">
        <v>2000</v>
      </c>
      <c r="P333" t="str" cm="1">
        <f t="array" ref="P333">_xlfn.IFS(Hospital_Patient[[#This Row],[Age]]&lt;=18,"Young",Hospital_Patient[[#This Row],[Age]]&lt;=36,"Adult",Hospital_Patient[[#This Row],[Age]]&lt;=60,"Middle Age",Hospital_Patient[[#This Row],[Age]]&gt;60,"Senior")</f>
        <v>Senior</v>
      </c>
      <c r="Q333" t="str" cm="1">
        <f t="array" ref="Q3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33">
        <f>YEAR(Hospital_Patient[[#This Row],[Discharge_Date]])</f>
        <v>2024</v>
      </c>
    </row>
    <row r="334" spans="1:18" hidden="1" x14ac:dyDescent="0.25">
      <c r="A334">
        <v>563</v>
      </c>
      <c r="B334">
        <v>65</v>
      </c>
      <c r="C334" t="s">
        <v>22</v>
      </c>
      <c r="D334" t="s">
        <v>23</v>
      </c>
      <c r="E334" t="s">
        <v>24</v>
      </c>
      <c r="F334" s="5">
        <v>45491</v>
      </c>
      <c r="G334" s="5">
        <v>45532</v>
      </c>
      <c r="H334" t="s">
        <v>25</v>
      </c>
      <c r="I334">
        <v>2024</v>
      </c>
      <c r="J334">
        <v>41</v>
      </c>
      <c r="K334" t="s">
        <v>19</v>
      </c>
      <c r="L334" t="s">
        <v>26</v>
      </c>
      <c r="M334">
        <v>3</v>
      </c>
      <c r="N334" t="s">
        <v>19</v>
      </c>
      <c r="O334">
        <v>2000</v>
      </c>
      <c r="P334" t="str" cm="1">
        <f t="array" ref="P334">_xlfn.IFS(Hospital_Patient[[#This Row],[Age]]&lt;=18,"Young",Hospital_Patient[[#This Row],[Age]]&lt;=36,"Adult",Hospital_Patient[[#This Row],[Age]]&lt;=60,"Middle Age",Hospital_Patient[[#This Row],[Age]]&gt;60,"Senior")</f>
        <v>Senior</v>
      </c>
      <c r="Q334" t="str" cm="1">
        <f t="array" ref="Q3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34">
        <f>YEAR(Hospital_Patient[[#This Row],[Discharge_Date]])</f>
        <v>2024</v>
      </c>
    </row>
    <row r="335" spans="1:18" x14ac:dyDescent="0.25">
      <c r="A335">
        <v>117</v>
      </c>
      <c r="B335">
        <v>35</v>
      </c>
      <c r="C335" t="s">
        <v>15</v>
      </c>
      <c r="D335" t="s">
        <v>54</v>
      </c>
      <c r="E335" t="s">
        <v>55</v>
      </c>
      <c r="F335" s="5">
        <v>45520</v>
      </c>
      <c r="G335" s="5">
        <v>45530</v>
      </c>
      <c r="H335" t="s">
        <v>76</v>
      </c>
      <c r="I335">
        <v>2024</v>
      </c>
      <c r="J335">
        <v>10</v>
      </c>
      <c r="K335" t="s">
        <v>19</v>
      </c>
      <c r="L335" t="s">
        <v>20</v>
      </c>
      <c r="M335">
        <v>4</v>
      </c>
      <c r="N335" t="s">
        <v>21</v>
      </c>
      <c r="O335">
        <v>12000</v>
      </c>
      <c r="P335" t="str" cm="1">
        <f t="array" ref="P335">_xlfn.IFS(Hospital_Patient[[#This Row],[Age]]&lt;=18,"Young",Hospital_Patient[[#This Row],[Age]]&lt;=36,"Adult",Hospital_Patient[[#This Row],[Age]]&lt;=60,"Middle Age",Hospital_Patient[[#This Row],[Age]]&gt;60,"Senior")</f>
        <v>Adult</v>
      </c>
      <c r="Q335" t="str" cm="1">
        <f t="array" ref="Q3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35">
        <f>YEAR(Hospital_Patient[[#This Row],[Discharge_Date]])</f>
        <v>2024</v>
      </c>
    </row>
    <row r="336" spans="1:18" x14ac:dyDescent="0.25">
      <c r="A336">
        <v>37</v>
      </c>
      <c r="B336">
        <v>45</v>
      </c>
      <c r="C336" t="s">
        <v>15</v>
      </c>
      <c r="D336" t="s">
        <v>39</v>
      </c>
      <c r="E336" t="s">
        <v>40</v>
      </c>
      <c r="F336" s="5">
        <v>45523</v>
      </c>
      <c r="G336" s="5">
        <v>45529</v>
      </c>
      <c r="H336" t="s">
        <v>72</v>
      </c>
      <c r="I336">
        <v>2024</v>
      </c>
      <c r="J336">
        <v>6</v>
      </c>
      <c r="K336" t="s">
        <v>19</v>
      </c>
      <c r="L336" t="s">
        <v>20</v>
      </c>
      <c r="M336">
        <v>3</v>
      </c>
      <c r="N336" t="s">
        <v>21</v>
      </c>
      <c r="O336">
        <v>8000</v>
      </c>
      <c r="P336" t="str" cm="1">
        <f t="array" ref="P336">_xlfn.IFS(Hospital_Patient[[#This Row],[Age]]&lt;=18,"Young",Hospital_Patient[[#This Row],[Age]]&lt;=36,"Adult",Hospital_Patient[[#This Row],[Age]]&lt;=60,"Middle Age",Hospital_Patient[[#This Row],[Age]]&gt;60,"Senior")</f>
        <v>Middle Age</v>
      </c>
      <c r="Q336" t="str" cm="1">
        <f t="array" ref="Q3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336">
        <f>YEAR(Hospital_Patient[[#This Row],[Discharge_Date]])</f>
        <v>2024</v>
      </c>
    </row>
    <row r="337" spans="1:18" hidden="1" x14ac:dyDescent="0.25">
      <c r="A337">
        <v>307</v>
      </c>
      <c r="B337">
        <v>58</v>
      </c>
      <c r="C337" t="s">
        <v>22</v>
      </c>
      <c r="D337" t="s">
        <v>52</v>
      </c>
      <c r="E337" t="s">
        <v>53</v>
      </c>
      <c r="F337" s="5">
        <v>45498</v>
      </c>
      <c r="G337" s="5">
        <v>45527</v>
      </c>
      <c r="H337" t="s">
        <v>51</v>
      </c>
      <c r="I337">
        <v>2024</v>
      </c>
      <c r="J337">
        <v>29</v>
      </c>
      <c r="K337" t="s">
        <v>19</v>
      </c>
      <c r="L337" t="s">
        <v>20</v>
      </c>
      <c r="M337">
        <v>3</v>
      </c>
      <c r="N337" t="s">
        <v>19</v>
      </c>
      <c r="O337">
        <v>20000</v>
      </c>
      <c r="P337" t="str" cm="1">
        <f t="array" ref="P337">_xlfn.IFS(Hospital_Patient[[#This Row],[Age]]&lt;=18,"Young",Hospital_Patient[[#This Row],[Age]]&lt;=36,"Adult",Hospital_Patient[[#This Row],[Age]]&lt;=60,"Middle Age",Hospital_Patient[[#This Row],[Age]]&gt;60,"Senior")</f>
        <v>Middle Age</v>
      </c>
      <c r="Q337" t="str" cm="1">
        <f t="array" ref="Q3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37">
        <f>YEAR(Hospital_Patient[[#This Row],[Discharge_Date]])</f>
        <v>2024</v>
      </c>
    </row>
    <row r="338" spans="1:18" x14ac:dyDescent="0.25">
      <c r="A338">
        <v>310</v>
      </c>
      <c r="B338">
        <v>65</v>
      </c>
      <c r="C338" t="s">
        <v>15</v>
      </c>
      <c r="D338" t="s">
        <v>59</v>
      </c>
      <c r="E338" t="s">
        <v>60</v>
      </c>
      <c r="F338" s="5">
        <v>45498</v>
      </c>
      <c r="G338" s="5">
        <v>45523</v>
      </c>
      <c r="H338" t="s">
        <v>73</v>
      </c>
      <c r="I338">
        <v>2024</v>
      </c>
      <c r="J338">
        <v>25</v>
      </c>
      <c r="K338" t="s">
        <v>19</v>
      </c>
      <c r="L338" t="s">
        <v>26</v>
      </c>
      <c r="M338">
        <v>4</v>
      </c>
      <c r="N338" t="s">
        <v>19</v>
      </c>
      <c r="O338">
        <v>4000</v>
      </c>
      <c r="P338" t="str" cm="1">
        <f t="array" ref="P338">_xlfn.IFS(Hospital_Patient[[#This Row],[Age]]&lt;=18,"Young",Hospital_Patient[[#This Row],[Age]]&lt;=36,"Adult",Hospital_Patient[[#This Row],[Age]]&lt;=60,"Middle Age",Hospital_Patient[[#This Row],[Age]]&gt;60,"Senior")</f>
        <v>Senior</v>
      </c>
      <c r="Q338" t="str" cm="1">
        <f t="array" ref="Q3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38">
        <f>YEAR(Hospital_Patient[[#This Row],[Discharge_Date]])</f>
        <v>2024</v>
      </c>
    </row>
    <row r="339" spans="1:18" x14ac:dyDescent="0.25">
      <c r="A339">
        <v>60</v>
      </c>
      <c r="B339">
        <v>48</v>
      </c>
      <c r="C339" t="s">
        <v>15</v>
      </c>
      <c r="D339" t="s">
        <v>16</v>
      </c>
      <c r="E339" t="s">
        <v>17</v>
      </c>
      <c r="F339" s="5">
        <v>45508</v>
      </c>
      <c r="G339" s="5">
        <v>45517</v>
      </c>
      <c r="H339" t="s">
        <v>18</v>
      </c>
      <c r="I339">
        <v>2024</v>
      </c>
      <c r="J339">
        <v>9</v>
      </c>
      <c r="K339" t="s">
        <v>21</v>
      </c>
      <c r="L339" t="s">
        <v>20</v>
      </c>
      <c r="M339">
        <v>4</v>
      </c>
      <c r="N339" t="s">
        <v>19</v>
      </c>
      <c r="O339">
        <v>15000</v>
      </c>
      <c r="P339" t="str" cm="1">
        <f t="array" ref="P339">_xlfn.IFS(Hospital_Patient[[#This Row],[Age]]&lt;=18,"Young",Hospital_Patient[[#This Row],[Age]]&lt;=36,"Adult",Hospital_Patient[[#This Row],[Age]]&lt;=60,"Middle Age",Hospital_Patient[[#This Row],[Age]]&gt;60,"Senior")</f>
        <v>Middle Age</v>
      </c>
      <c r="Q339" t="str" cm="1">
        <f t="array" ref="Q3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39">
        <f>YEAR(Hospital_Patient[[#This Row],[Discharge_Date]])</f>
        <v>2024</v>
      </c>
    </row>
    <row r="340" spans="1:18" x14ac:dyDescent="0.25">
      <c r="A340">
        <v>216</v>
      </c>
      <c r="B340">
        <v>78</v>
      </c>
      <c r="C340" t="s">
        <v>15</v>
      </c>
      <c r="D340" t="s">
        <v>45</v>
      </c>
      <c r="E340" t="s">
        <v>46</v>
      </c>
      <c r="F340" s="5">
        <v>45493</v>
      </c>
      <c r="G340" s="5">
        <v>45515</v>
      </c>
      <c r="H340" t="s">
        <v>18</v>
      </c>
      <c r="I340">
        <v>2024</v>
      </c>
      <c r="J340">
        <v>22</v>
      </c>
      <c r="K340" t="s">
        <v>21</v>
      </c>
      <c r="L340" t="s">
        <v>26</v>
      </c>
      <c r="M340">
        <v>2</v>
      </c>
      <c r="N340" t="s">
        <v>19</v>
      </c>
      <c r="O340">
        <v>18000</v>
      </c>
      <c r="P340" t="str" cm="1">
        <f t="array" ref="P340">_xlfn.IFS(Hospital_Patient[[#This Row],[Age]]&lt;=18,"Young",Hospital_Patient[[#This Row],[Age]]&lt;=36,"Adult",Hospital_Patient[[#This Row],[Age]]&lt;=60,"Middle Age",Hospital_Patient[[#This Row],[Age]]&gt;60,"Senior")</f>
        <v>Senior</v>
      </c>
      <c r="Q340" t="str" cm="1">
        <f t="array" ref="Q3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40">
        <f>YEAR(Hospital_Patient[[#This Row],[Discharge_Date]])</f>
        <v>2024</v>
      </c>
    </row>
    <row r="341" spans="1:18" x14ac:dyDescent="0.25">
      <c r="A341">
        <v>688</v>
      </c>
      <c r="B341">
        <v>78</v>
      </c>
      <c r="C341" t="s">
        <v>15</v>
      </c>
      <c r="D341" t="s">
        <v>45</v>
      </c>
      <c r="E341" t="s">
        <v>46</v>
      </c>
      <c r="F341" s="5">
        <v>45461</v>
      </c>
      <c r="G341" s="5">
        <v>45515</v>
      </c>
      <c r="H341" t="s">
        <v>65</v>
      </c>
      <c r="I341">
        <v>2024</v>
      </c>
      <c r="J341">
        <v>54</v>
      </c>
      <c r="K341" t="s">
        <v>21</v>
      </c>
      <c r="L341" t="s">
        <v>26</v>
      </c>
      <c r="M341">
        <v>2</v>
      </c>
      <c r="N341" t="s">
        <v>19</v>
      </c>
      <c r="O341">
        <v>18000</v>
      </c>
      <c r="P341" t="str" cm="1">
        <f t="array" ref="P341">_xlfn.IFS(Hospital_Patient[[#This Row],[Age]]&lt;=18,"Young",Hospital_Patient[[#This Row],[Age]]&lt;=36,"Adult",Hospital_Patient[[#This Row],[Age]]&lt;=60,"Middle Age",Hospital_Patient[[#This Row],[Age]]&gt;60,"Senior")</f>
        <v>Senior</v>
      </c>
      <c r="Q341" t="str" cm="1">
        <f t="array" ref="Q3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1">
        <f>YEAR(Hospital_Patient[[#This Row],[Discharge_Date]])</f>
        <v>2024</v>
      </c>
    </row>
    <row r="342" spans="1:18" hidden="1" x14ac:dyDescent="0.25">
      <c r="A342">
        <v>504</v>
      </c>
      <c r="B342">
        <v>65</v>
      </c>
      <c r="C342" t="s">
        <v>22</v>
      </c>
      <c r="D342" t="s">
        <v>23</v>
      </c>
      <c r="E342" t="s">
        <v>24</v>
      </c>
      <c r="F342" s="5">
        <v>45473</v>
      </c>
      <c r="G342" s="5">
        <v>45510</v>
      </c>
      <c r="H342" t="s">
        <v>18</v>
      </c>
      <c r="I342">
        <v>2024</v>
      </c>
      <c r="J342">
        <v>37</v>
      </c>
      <c r="K342" t="s">
        <v>19</v>
      </c>
      <c r="L342" t="s">
        <v>26</v>
      </c>
      <c r="M342">
        <v>3</v>
      </c>
      <c r="N342" t="s">
        <v>21</v>
      </c>
      <c r="O342">
        <v>2000</v>
      </c>
      <c r="P342" t="str" cm="1">
        <f t="array" ref="P342">_xlfn.IFS(Hospital_Patient[[#This Row],[Age]]&lt;=18,"Young",Hospital_Patient[[#This Row],[Age]]&lt;=36,"Adult",Hospital_Patient[[#This Row],[Age]]&lt;=60,"Middle Age",Hospital_Patient[[#This Row],[Age]]&gt;60,"Senior")</f>
        <v>Senior</v>
      </c>
      <c r="Q342" t="str" cm="1">
        <f t="array" ref="Q3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2">
        <f>YEAR(Hospital_Patient[[#This Row],[Discharge_Date]])</f>
        <v>2024</v>
      </c>
    </row>
    <row r="343" spans="1:18" hidden="1" x14ac:dyDescent="0.25">
      <c r="A343">
        <v>617</v>
      </c>
      <c r="B343">
        <v>67</v>
      </c>
      <c r="C343" t="s">
        <v>22</v>
      </c>
      <c r="D343" t="s">
        <v>52</v>
      </c>
      <c r="E343" t="s">
        <v>53</v>
      </c>
      <c r="F343" s="5">
        <v>45459</v>
      </c>
      <c r="G343" s="5">
        <v>45509</v>
      </c>
      <c r="H343" t="s">
        <v>51</v>
      </c>
      <c r="I343">
        <v>2024</v>
      </c>
      <c r="J343">
        <v>50</v>
      </c>
      <c r="K343" t="s">
        <v>19</v>
      </c>
      <c r="L343" t="s">
        <v>20</v>
      </c>
      <c r="M343">
        <v>3</v>
      </c>
      <c r="N343" t="s">
        <v>21</v>
      </c>
      <c r="O343">
        <v>20000</v>
      </c>
      <c r="P343" t="str" cm="1">
        <f t="array" ref="P343">_xlfn.IFS(Hospital_Patient[[#This Row],[Age]]&lt;=18,"Young",Hospital_Patient[[#This Row],[Age]]&lt;=36,"Adult",Hospital_Patient[[#This Row],[Age]]&lt;=60,"Middle Age",Hospital_Patient[[#This Row],[Age]]&gt;60,"Senior")</f>
        <v>Senior</v>
      </c>
      <c r="Q343" t="str" cm="1">
        <f t="array" ref="Q3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3">
        <f>YEAR(Hospital_Patient[[#This Row],[Discharge_Date]])</f>
        <v>2024</v>
      </c>
    </row>
    <row r="344" spans="1:18" hidden="1" x14ac:dyDescent="0.25">
      <c r="A344">
        <v>73</v>
      </c>
      <c r="B344">
        <v>55</v>
      </c>
      <c r="C344" t="s">
        <v>22</v>
      </c>
      <c r="D344" t="s">
        <v>57</v>
      </c>
      <c r="E344" t="s">
        <v>58</v>
      </c>
      <c r="F344" s="5">
        <v>45498</v>
      </c>
      <c r="G344" s="5">
        <v>45506</v>
      </c>
      <c r="H344" t="s">
        <v>44</v>
      </c>
      <c r="I344">
        <v>2024</v>
      </c>
      <c r="J344">
        <v>8</v>
      </c>
      <c r="K344" t="s">
        <v>19</v>
      </c>
      <c r="L344" t="s">
        <v>20</v>
      </c>
      <c r="M344">
        <v>3</v>
      </c>
      <c r="N344" t="s">
        <v>19</v>
      </c>
      <c r="O344">
        <v>6000</v>
      </c>
      <c r="P344" t="str" cm="1">
        <f t="array" ref="P344">_xlfn.IFS(Hospital_Patient[[#This Row],[Age]]&lt;=18,"Young",Hospital_Patient[[#This Row],[Age]]&lt;=36,"Adult",Hospital_Patient[[#This Row],[Age]]&lt;=60,"Middle Age",Hospital_Patient[[#This Row],[Age]]&gt;60,"Senior")</f>
        <v>Middle Age</v>
      </c>
      <c r="Q344" t="str" cm="1">
        <f t="array" ref="Q3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44">
        <f>YEAR(Hospital_Patient[[#This Row],[Discharge_Date]])</f>
        <v>2024</v>
      </c>
    </row>
    <row r="345" spans="1:18" hidden="1" x14ac:dyDescent="0.25">
      <c r="A345">
        <v>510</v>
      </c>
      <c r="B345">
        <v>40</v>
      </c>
      <c r="C345" t="s">
        <v>22</v>
      </c>
      <c r="D345" t="s">
        <v>42</v>
      </c>
      <c r="E345" t="s">
        <v>43</v>
      </c>
      <c r="F345" s="5">
        <v>45466</v>
      </c>
      <c r="G345" s="5">
        <v>45506</v>
      </c>
      <c r="H345" t="s">
        <v>44</v>
      </c>
      <c r="I345">
        <v>2024</v>
      </c>
      <c r="J345">
        <v>40</v>
      </c>
      <c r="K345" t="s">
        <v>19</v>
      </c>
      <c r="L345" t="s">
        <v>20</v>
      </c>
      <c r="M345">
        <v>4</v>
      </c>
      <c r="N345" t="s">
        <v>19</v>
      </c>
      <c r="O345">
        <v>3000</v>
      </c>
      <c r="P345" t="str" cm="1">
        <f t="array" ref="P345">_xlfn.IFS(Hospital_Patient[[#This Row],[Age]]&lt;=18,"Young",Hospital_Patient[[#This Row],[Age]]&lt;=36,"Adult",Hospital_Patient[[#This Row],[Age]]&lt;=60,"Middle Age",Hospital_Patient[[#This Row],[Age]]&gt;60,"Senior")</f>
        <v>Middle Age</v>
      </c>
      <c r="Q345" t="str" cm="1">
        <f t="array" ref="Q3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5">
        <f>YEAR(Hospital_Patient[[#This Row],[Discharge_Date]])</f>
        <v>2024</v>
      </c>
    </row>
    <row r="346" spans="1:18" x14ac:dyDescent="0.25">
      <c r="A346">
        <v>680</v>
      </c>
      <c r="B346">
        <v>48</v>
      </c>
      <c r="C346" t="s">
        <v>15</v>
      </c>
      <c r="D346" t="s">
        <v>16</v>
      </c>
      <c r="E346" t="s">
        <v>17</v>
      </c>
      <c r="F346" s="5">
        <v>45454</v>
      </c>
      <c r="G346" s="5">
        <v>45505</v>
      </c>
      <c r="H346" t="s">
        <v>73</v>
      </c>
      <c r="I346">
        <v>2024</v>
      </c>
      <c r="J346">
        <v>51</v>
      </c>
      <c r="K346" t="s">
        <v>21</v>
      </c>
      <c r="L346" t="s">
        <v>20</v>
      </c>
      <c r="M346">
        <v>4</v>
      </c>
      <c r="N346" t="s">
        <v>19</v>
      </c>
      <c r="O346">
        <v>15000</v>
      </c>
      <c r="P346" t="str" cm="1">
        <f t="array" ref="P346">_xlfn.IFS(Hospital_Patient[[#This Row],[Age]]&lt;=18,"Young",Hospital_Patient[[#This Row],[Age]]&lt;=36,"Adult",Hospital_Patient[[#This Row],[Age]]&lt;=60,"Middle Age",Hospital_Patient[[#This Row],[Age]]&gt;60,"Senior")</f>
        <v>Middle Age</v>
      </c>
      <c r="Q346" t="str" cm="1">
        <f t="array" ref="Q3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6">
        <f>YEAR(Hospital_Patient[[#This Row],[Discharge_Date]])</f>
        <v>2024</v>
      </c>
    </row>
    <row r="347" spans="1:18" hidden="1" x14ac:dyDescent="0.25">
      <c r="A347">
        <v>947</v>
      </c>
      <c r="B347">
        <v>65</v>
      </c>
      <c r="C347" t="s">
        <v>22</v>
      </c>
      <c r="D347" t="s">
        <v>23</v>
      </c>
      <c r="E347" t="s">
        <v>24</v>
      </c>
      <c r="F347" s="5">
        <v>45438</v>
      </c>
      <c r="G347" s="5">
        <v>45505</v>
      </c>
      <c r="H347" t="s">
        <v>18</v>
      </c>
      <c r="I347">
        <v>2024</v>
      </c>
      <c r="J347">
        <v>67</v>
      </c>
      <c r="K347" t="s">
        <v>19</v>
      </c>
      <c r="L347" t="s">
        <v>26</v>
      </c>
      <c r="M347">
        <v>3</v>
      </c>
      <c r="N347" t="s">
        <v>19</v>
      </c>
      <c r="O347">
        <v>2000</v>
      </c>
      <c r="P347" t="str" cm="1">
        <f t="array" ref="P347">_xlfn.IFS(Hospital_Patient[[#This Row],[Age]]&lt;=18,"Young",Hospital_Patient[[#This Row],[Age]]&lt;=36,"Adult",Hospital_Patient[[#This Row],[Age]]&lt;=60,"Middle Age",Hospital_Patient[[#This Row],[Age]]&gt;60,"Senior")</f>
        <v>Senior</v>
      </c>
      <c r="Q347" t="str" cm="1">
        <f t="array" ref="Q3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47">
        <f>YEAR(Hospital_Patient[[#This Row],[Discharge_Date]])</f>
        <v>2024</v>
      </c>
    </row>
    <row r="348" spans="1:18" hidden="1" x14ac:dyDescent="0.25">
      <c r="A348">
        <v>464</v>
      </c>
      <c r="B348">
        <v>72</v>
      </c>
      <c r="C348" t="s">
        <v>22</v>
      </c>
      <c r="D348" t="s">
        <v>36</v>
      </c>
      <c r="E348" t="s">
        <v>37</v>
      </c>
      <c r="F348" s="5">
        <v>45471</v>
      </c>
      <c r="G348" s="5">
        <v>45504</v>
      </c>
      <c r="H348" t="s">
        <v>38</v>
      </c>
      <c r="I348">
        <v>2024</v>
      </c>
      <c r="J348">
        <v>33</v>
      </c>
      <c r="K348" t="s">
        <v>19</v>
      </c>
      <c r="L348" t="s">
        <v>26</v>
      </c>
      <c r="M348">
        <v>4</v>
      </c>
      <c r="N348" t="s">
        <v>19</v>
      </c>
      <c r="O348">
        <v>1000</v>
      </c>
      <c r="P348" t="str" cm="1">
        <f t="array" ref="P348">_xlfn.IFS(Hospital_Patient[[#This Row],[Age]]&lt;=18,"Young",Hospital_Patient[[#This Row],[Age]]&lt;=36,"Adult",Hospital_Patient[[#This Row],[Age]]&lt;=60,"Middle Age",Hospital_Patient[[#This Row],[Age]]&gt;60,"Senior")</f>
        <v>Senior</v>
      </c>
      <c r="Q348" t="str" cm="1">
        <f t="array" ref="Q3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8">
        <f>YEAR(Hospital_Patient[[#This Row],[Discharge_Date]])</f>
        <v>2024</v>
      </c>
    </row>
    <row r="349" spans="1:18" x14ac:dyDescent="0.25">
      <c r="A349">
        <v>505</v>
      </c>
      <c r="B349">
        <v>30</v>
      </c>
      <c r="C349" t="s">
        <v>15</v>
      </c>
      <c r="D349" t="s">
        <v>27</v>
      </c>
      <c r="E349" t="s">
        <v>28</v>
      </c>
      <c r="F349" s="5">
        <v>45468</v>
      </c>
      <c r="G349" s="5">
        <v>45503</v>
      </c>
      <c r="H349" t="s">
        <v>70</v>
      </c>
      <c r="I349">
        <v>2024</v>
      </c>
      <c r="J349">
        <v>35</v>
      </c>
      <c r="K349" t="s">
        <v>19</v>
      </c>
      <c r="L349" t="s">
        <v>20</v>
      </c>
      <c r="M349">
        <v>5</v>
      </c>
      <c r="N349" t="s">
        <v>19</v>
      </c>
      <c r="O349">
        <v>500</v>
      </c>
      <c r="P349" t="str" cm="1">
        <f t="array" ref="P349">_xlfn.IFS(Hospital_Patient[[#This Row],[Age]]&lt;=18,"Young",Hospital_Patient[[#This Row],[Age]]&lt;=36,"Adult",Hospital_Patient[[#This Row],[Age]]&lt;=60,"Middle Age",Hospital_Patient[[#This Row],[Age]]&gt;60,"Senior")</f>
        <v>Adult</v>
      </c>
      <c r="Q349" t="str" cm="1">
        <f t="array" ref="Q3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49">
        <f>YEAR(Hospital_Patient[[#This Row],[Discharge_Date]])</f>
        <v>2024</v>
      </c>
    </row>
    <row r="350" spans="1:18" hidden="1" x14ac:dyDescent="0.25">
      <c r="A350">
        <v>663</v>
      </c>
      <c r="B350">
        <v>55</v>
      </c>
      <c r="C350" t="s">
        <v>22</v>
      </c>
      <c r="D350" t="s">
        <v>57</v>
      </c>
      <c r="E350" t="s">
        <v>58</v>
      </c>
      <c r="F350" s="5">
        <v>45454</v>
      </c>
      <c r="G350" s="5">
        <v>45502</v>
      </c>
      <c r="H350" t="s">
        <v>77</v>
      </c>
      <c r="I350">
        <v>2024</v>
      </c>
      <c r="J350">
        <v>48</v>
      </c>
      <c r="K350" t="s">
        <v>19</v>
      </c>
      <c r="L350" t="s">
        <v>20</v>
      </c>
      <c r="M350">
        <v>3</v>
      </c>
      <c r="N350" t="s">
        <v>19</v>
      </c>
      <c r="O350">
        <v>6000</v>
      </c>
      <c r="P350" t="str" cm="1">
        <f t="array" ref="P350">_xlfn.IFS(Hospital_Patient[[#This Row],[Age]]&lt;=18,"Young",Hospital_Patient[[#This Row],[Age]]&lt;=36,"Adult",Hospital_Patient[[#This Row],[Age]]&lt;=60,"Middle Age",Hospital_Patient[[#This Row],[Age]]&gt;60,"Senior")</f>
        <v>Middle Age</v>
      </c>
      <c r="Q350" t="str" cm="1">
        <f t="array" ref="Q3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50">
        <f>YEAR(Hospital_Patient[[#This Row],[Discharge_Date]])</f>
        <v>2024</v>
      </c>
    </row>
    <row r="351" spans="1:18" x14ac:dyDescent="0.25">
      <c r="A351">
        <v>887</v>
      </c>
      <c r="B351">
        <v>48</v>
      </c>
      <c r="C351" t="s">
        <v>15</v>
      </c>
      <c r="D351" t="s">
        <v>16</v>
      </c>
      <c r="E351" t="s">
        <v>17</v>
      </c>
      <c r="F351" s="5">
        <v>45437</v>
      </c>
      <c r="G351" s="5">
        <v>45502</v>
      </c>
      <c r="H351" t="s">
        <v>73</v>
      </c>
      <c r="I351">
        <v>2024</v>
      </c>
      <c r="J351">
        <v>65</v>
      </c>
      <c r="K351" t="s">
        <v>21</v>
      </c>
      <c r="L351" t="s">
        <v>20</v>
      </c>
      <c r="M351">
        <v>4</v>
      </c>
      <c r="N351" t="s">
        <v>19</v>
      </c>
      <c r="O351">
        <v>15000</v>
      </c>
      <c r="P351" t="str" cm="1">
        <f t="array" ref="P351">_xlfn.IFS(Hospital_Patient[[#This Row],[Age]]&lt;=18,"Young",Hospital_Patient[[#This Row],[Age]]&lt;=36,"Adult",Hospital_Patient[[#This Row],[Age]]&lt;=60,"Middle Age",Hospital_Patient[[#This Row],[Age]]&gt;60,"Senior")</f>
        <v>Middle Age</v>
      </c>
      <c r="Q351" t="str" cm="1">
        <f t="array" ref="Q3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51">
        <f>YEAR(Hospital_Patient[[#This Row],[Discharge_Date]])</f>
        <v>2024</v>
      </c>
    </row>
    <row r="352" spans="1:18" hidden="1" x14ac:dyDescent="0.25">
      <c r="A352">
        <v>32</v>
      </c>
      <c r="B352">
        <v>65</v>
      </c>
      <c r="C352" t="s">
        <v>22</v>
      </c>
      <c r="D352" t="s">
        <v>23</v>
      </c>
      <c r="E352" t="s">
        <v>24</v>
      </c>
      <c r="F352" s="5">
        <v>45495</v>
      </c>
      <c r="G352" s="5">
        <v>45500</v>
      </c>
      <c r="H352" t="s">
        <v>71</v>
      </c>
      <c r="I352">
        <v>2024</v>
      </c>
      <c r="J352">
        <v>5</v>
      </c>
      <c r="K352" t="s">
        <v>19</v>
      </c>
      <c r="L352" t="s">
        <v>26</v>
      </c>
      <c r="M352">
        <v>3</v>
      </c>
      <c r="N352" t="s">
        <v>19</v>
      </c>
      <c r="O352">
        <v>2000</v>
      </c>
      <c r="P352" t="str" cm="1">
        <f t="array" ref="P352">_xlfn.IFS(Hospital_Patient[[#This Row],[Age]]&lt;=18,"Young",Hospital_Patient[[#This Row],[Age]]&lt;=36,"Adult",Hospital_Patient[[#This Row],[Age]]&lt;=60,"Middle Age",Hospital_Patient[[#This Row],[Age]]&gt;60,"Senior")</f>
        <v>Senior</v>
      </c>
      <c r="Q352" t="str" cm="1">
        <f t="array" ref="Q3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352">
        <f>YEAR(Hospital_Patient[[#This Row],[Discharge_Date]])</f>
        <v>2024</v>
      </c>
    </row>
    <row r="353" spans="1:18" x14ac:dyDescent="0.25">
      <c r="A353">
        <v>24</v>
      </c>
      <c r="B353">
        <v>75</v>
      </c>
      <c r="C353" t="s">
        <v>15</v>
      </c>
      <c r="D353" t="s">
        <v>45</v>
      </c>
      <c r="E353" t="s">
        <v>46</v>
      </c>
      <c r="F353" s="5">
        <v>45489</v>
      </c>
      <c r="G353" s="5">
        <v>45498</v>
      </c>
      <c r="H353" t="s">
        <v>65</v>
      </c>
      <c r="I353">
        <v>2024</v>
      </c>
      <c r="J353">
        <v>9</v>
      </c>
      <c r="K353" t="s">
        <v>21</v>
      </c>
      <c r="L353" t="s">
        <v>26</v>
      </c>
      <c r="M353">
        <v>2</v>
      </c>
      <c r="N353" t="s">
        <v>21</v>
      </c>
      <c r="O353">
        <v>18000</v>
      </c>
      <c r="P353" t="str" cm="1">
        <f t="array" ref="P353">_xlfn.IFS(Hospital_Patient[[#This Row],[Age]]&lt;=18,"Young",Hospital_Patient[[#This Row],[Age]]&lt;=36,"Adult",Hospital_Patient[[#This Row],[Age]]&lt;=60,"Middle Age",Hospital_Patient[[#This Row],[Age]]&gt;60,"Senior")</f>
        <v>Senior</v>
      </c>
      <c r="Q353" t="str" cm="1">
        <f t="array" ref="Q3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53">
        <f>YEAR(Hospital_Patient[[#This Row],[Discharge_Date]])</f>
        <v>2024</v>
      </c>
    </row>
    <row r="354" spans="1:18" x14ac:dyDescent="0.25">
      <c r="A354">
        <v>174</v>
      </c>
      <c r="B354">
        <v>52</v>
      </c>
      <c r="C354" t="s">
        <v>15</v>
      </c>
      <c r="D354" t="s">
        <v>49</v>
      </c>
      <c r="E354" t="s">
        <v>50</v>
      </c>
      <c r="F354" s="5">
        <v>45485</v>
      </c>
      <c r="G354" s="5">
        <v>45498</v>
      </c>
      <c r="H354" t="s">
        <v>64</v>
      </c>
      <c r="I354">
        <v>2024</v>
      </c>
      <c r="J354">
        <v>13</v>
      </c>
      <c r="K354" t="s">
        <v>19</v>
      </c>
      <c r="L354" t="s">
        <v>26</v>
      </c>
      <c r="M354">
        <v>4</v>
      </c>
      <c r="N354" t="s">
        <v>21</v>
      </c>
      <c r="O354">
        <v>800</v>
      </c>
      <c r="P354" t="str" cm="1">
        <f t="array" ref="P354">_xlfn.IFS(Hospital_Patient[[#This Row],[Age]]&lt;=18,"Young",Hospital_Patient[[#This Row],[Age]]&lt;=36,"Adult",Hospital_Patient[[#This Row],[Age]]&lt;=60,"Middle Age",Hospital_Patient[[#This Row],[Age]]&gt;60,"Senior")</f>
        <v>Middle Age</v>
      </c>
      <c r="Q354" t="str" cm="1">
        <f t="array" ref="Q3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54">
        <f>YEAR(Hospital_Patient[[#This Row],[Discharge_Date]])</f>
        <v>2024</v>
      </c>
    </row>
    <row r="355" spans="1:18" hidden="1" x14ac:dyDescent="0.25">
      <c r="A355">
        <v>47</v>
      </c>
      <c r="B355">
        <v>62</v>
      </c>
      <c r="C355" t="s">
        <v>22</v>
      </c>
      <c r="D355" t="s">
        <v>23</v>
      </c>
      <c r="E355" t="s">
        <v>24</v>
      </c>
      <c r="F355" s="5">
        <v>45488</v>
      </c>
      <c r="G355" s="5">
        <v>45494</v>
      </c>
      <c r="H355" t="s">
        <v>25</v>
      </c>
      <c r="I355">
        <v>2024</v>
      </c>
      <c r="J355">
        <v>6</v>
      </c>
      <c r="K355" t="s">
        <v>19</v>
      </c>
      <c r="L355" t="s">
        <v>26</v>
      </c>
      <c r="M355">
        <v>4</v>
      </c>
      <c r="N355" t="s">
        <v>19</v>
      </c>
      <c r="O355">
        <v>2000</v>
      </c>
      <c r="P355" t="str" cm="1">
        <f t="array" ref="P355">_xlfn.IFS(Hospital_Patient[[#This Row],[Age]]&lt;=18,"Young",Hospital_Patient[[#This Row],[Age]]&lt;=36,"Adult",Hospital_Patient[[#This Row],[Age]]&lt;=60,"Middle Age",Hospital_Patient[[#This Row],[Age]]&gt;60,"Senior")</f>
        <v>Senior</v>
      </c>
      <c r="Q355" t="str" cm="1">
        <f t="array" ref="Q3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355">
        <f>YEAR(Hospital_Patient[[#This Row],[Discharge_Date]])</f>
        <v>2024</v>
      </c>
    </row>
    <row r="356" spans="1:18" x14ac:dyDescent="0.25">
      <c r="A356">
        <v>928</v>
      </c>
      <c r="B356">
        <v>32</v>
      </c>
      <c r="C356" t="s">
        <v>15</v>
      </c>
      <c r="D356" t="s">
        <v>54</v>
      </c>
      <c r="E356" t="s">
        <v>55</v>
      </c>
      <c r="F356" s="5">
        <v>45429</v>
      </c>
      <c r="G356" s="5">
        <v>45494</v>
      </c>
      <c r="H356" t="s">
        <v>76</v>
      </c>
      <c r="I356">
        <v>2024</v>
      </c>
      <c r="J356">
        <v>65</v>
      </c>
      <c r="K356" t="s">
        <v>19</v>
      </c>
      <c r="L356" t="s">
        <v>20</v>
      </c>
      <c r="M356">
        <v>4</v>
      </c>
      <c r="N356" t="s">
        <v>21</v>
      </c>
      <c r="O356">
        <v>12000</v>
      </c>
      <c r="P356" t="str" cm="1">
        <f t="array" ref="P356">_xlfn.IFS(Hospital_Patient[[#This Row],[Age]]&lt;=18,"Young",Hospital_Patient[[#This Row],[Age]]&lt;=36,"Adult",Hospital_Patient[[#This Row],[Age]]&lt;=60,"Middle Age",Hospital_Patient[[#This Row],[Age]]&gt;60,"Senior")</f>
        <v>Adult</v>
      </c>
      <c r="Q356" t="str" cm="1">
        <f t="array" ref="Q3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56">
        <f>YEAR(Hospital_Patient[[#This Row],[Discharge_Date]])</f>
        <v>2024</v>
      </c>
    </row>
    <row r="357" spans="1:18" x14ac:dyDescent="0.25">
      <c r="A357">
        <v>416</v>
      </c>
      <c r="B357">
        <v>30</v>
      </c>
      <c r="C357" t="s">
        <v>15</v>
      </c>
      <c r="D357" t="s">
        <v>27</v>
      </c>
      <c r="E357" t="s">
        <v>28</v>
      </c>
      <c r="F357" s="5">
        <v>45464</v>
      </c>
      <c r="G357" s="5">
        <v>45493</v>
      </c>
      <c r="H357" t="s">
        <v>29</v>
      </c>
      <c r="I357">
        <v>2024</v>
      </c>
      <c r="J357">
        <v>29</v>
      </c>
      <c r="K357" t="s">
        <v>19</v>
      </c>
      <c r="L357" t="s">
        <v>20</v>
      </c>
      <c r="M357">
        <v>5</v>
      </c>
      <c r="N357" t="s">
        <v>21</v>
      </c>
      <c r="O357">
        <v>500</v>
      </c>
      <c r="P357" t="str" cm="1">
        <f t="array" ref="P357">_xlfn.IFS(Hospital_Patient[[#This Row],[Age]]&lt;=18,"Young",Hospital_Patient[[#This Row],[Age]]&lt;=36,"Adult",Hospital_Patient[[#This Row],[Age]]&lt;=60,"Middle Age",Hospital_Patient[[#This Row],[Age]]&gt;60,"Senior")</f>
        <v>Adult</v>
      </c>
      <c r="Q357" t="str" cm="1">
        <f t="array" ref="Q3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57">
        <f>YEAR(Hospital_Patient[[#This Row],[Discharge_Date]])</f>
        <v>2024</v>
      </c>
    </row>
    <row r="358" spans="1:18" x14ac:dyDescent="0.25">
      <c r="A358">
        <v>957</v>
      </c>
      <c r="B358">
        <v>32</v>
      </c>
      <c r="C358" t="s">
        <v>15</v>
      </c>
      <c r="D358" t="s">
        <v>54</v>
      </c>
      <c r="E358" t="s">
        <v>55</v>
      </c>
      <c r="F358" s="5">
        <v>45424</v>
      </c>
      <c r="G358" s="5">
        <v>45491</v>
      </c>
      <c r="H358" t="s">
        <v>56</v>
      </c>
      <c r="I358">
        <v>2024</v>
      </c>
      <c r="J358">
        <v>67</v>
      </c>
      <c r="K358" t="s">
        <v>19</v>
      </c>
      <c r="L358" t="s">
        <v>20</v>
      </c>
      <c r="M358">
        <v>4</v>
      </c>
      <c r="N358" t="s">
        <v>19</v>
      </c>
      <c r="O358">
        <v>12000</v>
      </c>
      <c r="P358" t="str" cm="1">
        <f t="array" ref="P358">_xlfn.IFS(Hospital_Patient[[#This Row],[Age]]&lt;=18,"Young",Hospital_Patient[[#This Row],[Age]]&lt;=36,"Adult",Hospital_Patient[[#This Row],[Age]]&lt;=60,"Middle Age",Hospital_Patient[[#This Row],[Age]]&gt;60,"Senior")</f>
        <v>Adult</v>
      </c>
      <c r="Q358" t="str" cm="1">
        <f t="array" ref="Q3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58">
        <f>YEAR(Hospital_Patient[[#This Row],[Discharge_Date]])</f>
        <v>2024</v>
      </c>
    </row>
    <row r="359" spans="1:18" hidden="1" x14ac:dyDescent="0.25">
      <c r="A359">
        <v>969</v>
      </c>
      <c r="B359">
        <v>28</v>
      </c>
      <c r="C359" t="s">
        <v>22</v>
      </c>
      <c r="D359" t="s">
        <v>47</v>
      </c>
      <c r="E359" t="s">
        <v>48</v>
      </c>
      <c r="F359" s="5">
        <v>45422</v>
      </c>
      <c r="G359" s="5">
        <v>45489</v>
      </c>
      <c r="H359" t="s">
        <v>41</v>
      </c>
      <c r="I359">
        <v>2024</v>
      </c>
      <c r="J359">
        <v>67</v>
      </c>
      <c r="K359" t="s">
        <v>19</v>
      </c>
      <c r="L359" t="s">
        <v>20</v>
      </c>
      <c r="M359">
        <v>5</v>
      </c>
      <c r="N359" t="s">
        <v>19</v>
      </c>
      <c r="O359">
        <v>100</v>
      </c>
      <c r="P359" t="str" cm="1">
        <f t="array" ref="P359">_xlfn.IFS(Hospital_Patient[[#This Row],[Age]]&lt;=18,"Young",Hospital_Patient[[#This Row],[Age]]&lt;=36,"Adult",Hospital_Patient[[#This Row],[Age]]&lt;=60,"Middle Age",Hospital_Patient[[#This Row],[Age]]&gt;60,"Senior")</f>
        <v>Adult</v>
      </c>
      <c r="Q359" t="str" cm="1">
        <f t="array" ref="Q3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59">
        <f>YEAR(Hospital_Patient[[#This Row],[Discharge_Date]])</f>
        <v>2024</v>
      </c>
    </row>
    <row r="360" spans="1:18" hidden="1" x14ac:dyDescent="0.25">
      <c r="A360">
        <v>569</v>
      </c>
      <c r="B360">
        <v>40</v>
      </c>
      <c r="C360" t="s">
        <v>22</v>
      </c>
      <c r="D360" t="s">
        <v>42</v>
      </c>
      <c r="E360" t="s">
        <v>43</v>
      </c>
      <c r="F360" s="5">
        <v>45441</v>
      </c>
      <c r="G360" s="5">
        <v>45485</v>
      </c>
      <c r="H360" t="s">
        <v>70</v>
      </c>
      <c r="I360">
        <v>2024</v>
      </c>
      <c r="J360">
        <v>44</v>
      </c>
      <c r="K360" t="s">
        <v>19</v>
      </c>
      <c r="L360" t="s">
        <v>20</v>
      </c>
      <c r="M360">
        <v>4</v>
      </c>
      <c r="N360" t="s">
        <v>19</v>
      </c>
      <c r="O360">
        <v>3000</v>
      </c>
      <c r="P360" t="str" cm="1">
        <f t="array" ref="P360">_xlfn.IFS(Hospital_Patient[[#This Row],[Age]]&lt;=18,"Young",Hospital_Patient[[#This Row],[Age]]&lt;=36,"Adult",Hospital_Patient[[#This Row],[Age]]&lt;=60,"Middle Age",Hospital_Patient[[#This Row],[Age]]&gt;60,"Senior")</f>
        <v>Middle Age</v>
      </c>
      <c r="Q360" t="str" cm="1">
        <f t="array" ref="Q3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0">
        <f>YEAR(Hospital_Patient[[#This Row],[Discharge_Date]])</f>
        <v>2024</v>
      </c>
    </row>
    <row r="361" spans="1:18" x14ac:dyDescent="0.25">
      <c r="A361">
        <v>705</v>
      </c>
      <c r="B361">
        <v>52</v>
      </c>
      <c r="C361" t="s">
        <v>15</v>
      </c>
      <c r="D361" t="s">
        <v>49</v>
      </c>
      <c r="E361" t="s">
        <v>50</v>
      </c>
      <c r="F361" s="5">
        <v>45436</v>
      </c>
      <c r="G361" s="5">
        <v>45485</v>
      </c>
      <c r="H361" t="s">
        <v>66</v>
      </c>
      <c r="I361">
        <v>2024</v>
      </c>
      <c r="J361">
        <v>49</v>
      </c>
      <c r="K361" t="s">
        <v>19</v>
      </c>
      <c r="L361" t="s">
        <v>26</v>
      </c>
      <c r="M361">
        <v>4</v>
      </c>
      <c r="N361" t="s">
        <v>21</v>
      </c>
      <c r="O361">
        <v>800</v>
      </c>
      <c r="P361" t="str" cm="1">
        <f t="array" ref="P361">_xlfn.IFS(Hospital_Patient[[#This Row],[Age]]&lt;=18,"Young",Hospital_Patient[[#This Row],[Age]]&lt;=36,"Adult",Hospital_Patient[[#This Row],[Age]]&lt;=60,"Middle Age",Hospital_Patient[[#This Row],[Age]]&gt;60,"Senior")</f>
        <v>Middle Age</v>
      </c>
      <c r="Q361" t="str" cm="1">
        <f t="array" ref="Q3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1">
        <f>YEAR(Hospital_Patient[[#This Row],[Discharge_Date]])</f>
        <v>2024</v>
      </c>
    </row>
    <row r="362" spans="1:18" hidden="1" x14ac:dyDescent="0.25">
      <c r="A362">
        <v>598</v>
      </c>
      <c r="B362">
        <v>40</v>
      </c>
      <c r="C362" t="s">
        <v>22</v>
      </c>
      <c r="D362" t="s">
        <v>42</v>
      </c>
      <c r="E362" t="s">
        <v>43</v>
      </c>
      <c r="F362" s="5">
        <v>45438</v>
      </c>
      <c r="G362" s="5">
        <v>45484</v>
      </c>
      <c r="H362" t="s">
        <v>70</v>
      </c>
      <c r="I362">
        <v>2024</v>
      </c>
      <c r="J362">
        <v>46</v>
      </c>
      <c r="K362" t="s">
        <v>19</v>
      </c>
      <c r="L362" t="s">
        <v>20</v>
      </c>
      <c r="M362">
        <v>4</v>
      </c>
      <c r="N362" t="s">
        <v>19</v>
      </c>
      <c r="O362">
        <v>3000</v>
      </c>
      <c r="P362" t="str" cm="1">
        <f t="array" ref="P362">_xlfn.IFS(Hospital_Patient[[#This Row],[Age]]&lt;=18,"Young",Hospital_Patient[[#This Row],[Age]]&lt;=36,"Adult",Hospital_Patient[[#This Row],[Age]]&lt;=60,"Middle Age",Hospital_Patient[[#This Row],[Age]]&gt;60,"Senior")</f>
        <v>Middle Age</v>
      </c>
      <c r="Q362" t="str" cm="1">
        <f t="array" ref="Q3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2">
        <f>YEAR(Hospital_Patient[[#This Row],[Discharge_Date]])</f>
        <v>2024</v>
      </c>
    </row>
    <row r="363" spans="1:18" x14ac:dyDescent="0.25">
      <c r="A363">
        <v>179</v>
      </c>
      <c r="B363">
        <v>48</v>
      </c>
      <c r="C363" t="s">
        <v>15</v>
      </c>
      <c r="D363" t="s">
        <v>16</v>
      </c>
      <c r="E363" t="s">
        <v>17</v>
      </c>
      <c r="F363" s="5">
        <v>45466</v>
      </c>
      <c r="G363" s="5">
        <v>45483</v>
      </c>
      <c r="H363" t="s">
        <v>18</v>
      </c>
      <c r="I363">
        <v>2024</v>
      </c>
      <c r="J363">
        <v>17</v>
      </c>
      <c r="K363" t="s">
        <v>21</v>
      </c>
      <c r="L363" t="s">
        <v>20</v>
      </c>
      <c r="M363">
        <v>4</v>
      </c>
      <c r="N363" t="s">
        <v>21</v>
      </c>
      <c r="O363">
        <v>15000</v>
      </c>
      <c r="P363" t="str" cm="1">
        <f t="array" ref="P363">_xlfn.IFS(Hospital_Patient[[#This Row],[Age]]&lt;=18,"Young",Hospital_Patient[[#This Row],[Age]]&lt;=36,"Adult",Hospital_Patient[[#This Row],[Age]]&lt;=60,"Middle Age",Hospital_Patient[[#This Row],[Age]]&gt;60,"Senior")</f>
        <v>Middle Age</v>
      </c>
      <c r="Q363" t="str" cm="1">
        <f t="array" ref="Q3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63">
        <f>YEAR(Hospital_Patient[[#This Row],[Discharge_Date]])</f>
        <v>2024</v>
      </c>
    </row>
    <row r="364" spans="1:18" x14ac:dyDescent="0.25">
      <c r="A364">
        <v>621</v>
      </c>
      <c r="B364">
        <v>48</v>
      </c>
      <c r="C364" t="s">
        <v>15</v>
      </c>
      <c r="D364" t="s">
        <v>16</v>
      </c>
      <c r="E364" t="s">
        <v>17</v>
      </c>
      <c r="F364" s="5">
        <v>45433</v>
      </c>
      <c r="G364" s="5">
        <v>45480</v>
      </c>
      <c r="H364" t="s">
        <v>70</v>
      </c>
      <c r="I364">
        <v>2024</v>
      </c>
      <c r="J364">
        <v>47</v>
      </c>
      <c r="K364" t="s">
        <v>21</v>
      </c>
      <c r="L364" t="s">
        <v>20</v>
      </c>
      <c r="M364">
        <v>4</v>
      </c>
      <c r="N364" t="s">
        <v>21</v>
      </c>
      <c r="O364">
        <v>15000</v>
      </c>
      <c r="P364" t="str" cm="1">
        <f t="array" ref="P364">_xlfn.IFS(Hospital_Patient[[#This Row],[Age]]&lt;=18,"Young",Hospital_Patient[[#This Row],[Age]]&lt;=36,"Adult",Hospital_Patient[[#This Row],[Age]]&lt;=60,"Middle Age",Hospital_Patient[[#This Row],[Age]]&gt;60,"Senior")</f>
        <v>Middle Age</v>
      </c>
      <c r="Q364" t="str" cm="1">
        <f t="array" ref="Q3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4">
        <f>YEAR(Hospital_Patient[[#This Row],[Discharge_Date]])</f>
        <v>2024</v>
      </c>
    </row>
    <row r="365" spans="1:18" hidden="1" x14ac:dyDescent="0.25">
      <c r="A365">
        <v>356</v>
      </c>
      <c r="B365">
        <v>65</v>
      </c>
      <c r="C365" t="s">
        <v>22</v>
      </c>
      <c r="D365" t="s">
        <v>23</v>
      </c>
      <c r="E365" t="s">
        <v>24</v>
      </c>
      <c r="F365" s="5">
        <v>45452</v>
      </c>
      <c r="G365" s="5">
        <v>45479</v>
      </c>
      <c r="H365" t="s">
        <v>71</v>
      </c>
      <c r="I365">
        <v>2024</v>
      </c>
      <c r="J365">
        <v>27</v>
      </c>
      <c r="K365" t="s">
        <v>19</v>
      </c>
      <c r="L365" t="s">
        <v>26</v>
      </c>
      <c r="M365">
        <v>3</v>
      </c>
      <c r="N365" t="s">
        <v>21</v>
      </c>
      <c r="O365">
        <v>2000</v>
      </c>
      <c r="P365" t="str" cm="1">
        <f t="array" ref="P365">_xlfn.IFS(Hospital_Patient[[#This Row],[Age]]&lt;=18,"Young",Hospital_Patient[[#This Row],[Age]]&lt;=36,"Adult",Hospital_Patient[[#This Row],[Age]]&lt;=60,"Middle Age",Hospital_Patient[[#This Row],[Age]]&gt;60,"Senior")</f>
        <v>Senior</v>
      </c>
      <c r="Q365" t="str" cm="1">
        <f t="array" ref="Q3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65">
        <f>YEAR(Hospital_Patient[[#This Row],[Discharge_Date]])</f>
        <v>2024</v>
      </c>
    </row>
    <row r="366" spans="1:18" hidden="1" x14ac:dyDescent="0.25">
      <c r="A366">
        <v>672</v>
      </c>
      <c r="B366">
        <v>45</v>
      </c>
      <c r="C366" t="s">
        <v>22</v>
      </c>
      <c r="D366" t="s">
        <v>42</v>
      </c>
      <c r="E366" t="s">
        <v>43</v>
      </c>
      <c r="F366" s="5">
        <v>45428</v>
      </c>
      <c r="G366" s="5">
        <v>45479</v>
      </c>
      <c r="H366" t="s">
        <v>70</v>
      </c>
      <c r="I366">
        <v>2024</v>
      </c>
      <c r="J366">
        <v>51</v>
      </c>
      <c r="K366" t="s">
        <v>19</v>
      </c>
      <c r="L366" t="s">
        <v>20</v>
      </c>
      <c r="M366">
        <v>4</v>
      </c>
      <c r="N366" t="s">
        <v>19</v>
      </c>
      <c r="O366">
        <v>3000</v>
      </c>
      <c r="P366" t="str" cm="1">
        <f t="array" ref="P366">_xlfn.IFS(Hospital_Patient[[#This Row],[Age]]&lt;=18,"Young",Hospital_Patient[[#This Row],[Age]]&lt;=36,"Adult",Hospital_Patient[[#This Row],[Age]]&lt;=60,"Middle Age",Hospital_Patient[[#This Row],[Age]]&gt;60,"Senior")</f>
        <v>Middle Age</v>
      </c>
      <c r="Q366" t="str" cm="1">
        <f t="array" ref="Q3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6">
        <f>YEAR(Hospital_Patient[[#This Row],[Discharge_Date]])</f>
        <v>2024</v>
      </c>
    </row>
    <row r="367" spans="1:18" x14ac:dyDescent="0.25">
      <c r="A367">
        <v>677</v>
      </c>
      <c r="B367">
        <v>35</v>
      </c>
      <c r="C367" t="s">
        <v>15</v>
      </c>
      <c r="D367" t="s">
        <v>54</v>
      </c>
      <c r="E367" t="s">
        <v>55</v>
      </c>
      <c r="F367" s="5">
        <v>45429</v>
      </c>
      <c r="G367" s="5">
        <v>45477</v>
      </c>
      <c r="H367" t="s">
        <v>68</v>
      </c>
      <c r="I367">
        <v>2024</v>
      </c>
      <c r="J367">
        <v>48</v>
      </c>
      <c r="K367" t="s">
        <v>19</v>
      </c>
      <c r="L367" t="s">
        <v>20</v>
      </c>
      <c r="M367">
        <v>4</v>
      </c>
      <c r="N367" t="s">
        <v>19</v>
      </c>
      <c r="O367">
        <v>12000</v>
      </c>
      <c r="P367" t="str" cm="1">
        <f t="array" ref="P367">_xlfn.IFS(Hospital_Patient[[#This Row],[Age]]&lt;=18,"Young",Hospital_Patient[[#This Row],[Age]]&lt;=36,"Adult",Hospital_Patient[[#This Row],[Age]]&lt;=60,"Middle Age",Hospital_Patient[[#This Row],[Age]]&gt;60,"Senior")</f>
        <v>Adult</v>
      </c>
      <c r="Q367" t="str" cm="1">
        <f t="array" ref="Q3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7">
        <f>YEAR(Hospital_Patient[[#This Row],[Discharge_Date]])</f>
        <v>2024</v>
      </c>
    </row>
    <row r="368" spans="1:18" x14ac:dyDescent="0.25">
      <c r="A368">
        <v>776</v>
      </c>
      <c r="B368">
        <v>78</v>
      </c>
      <c r="C368" t="s">
        <v>15</v>
      </c>
      <c r="D368" t="s">
        <v>45</v>
      </c>
      <c r="E368" t="s">
        <v>46</v>
      </c>
      <c r="F368" s="5">
        <v>45417</v>
      </c>
      <c r="G368" s="5">
        <v>45477</v>
      </c>
      <c r="H368" t="s">
        <v>65</v>
      </c>
      <c r="I368">
        <v>2024</v>
      </c>
      <c r="J368">
        <v>60</v>
      </c>
      <c r="K368" t="s">
        <v>21</v>
      </c>
      <c r="L368" t="s">
        <v>26</v>
      </c>
      <c r="M368">
        <v>2</v>
      </c>
      <c r="N368" t="s">
        <v>21</v>
      </c>
      <c r="O368">
        <v>18000</v>
      </c>
      <c r="P368" t="str" cm="1">
        <f t="array" ref="P368">_xlfn.IFS(Hospital_Patient[[#This Row],[Age]]&lt;=18,"Young",Hospital_Patient[[#This Row],[Age]]&lt;=36,"Adult",Hospital_Patient[[#This Row],[Age]]&lt;=60,"Middle Age",Hospital_Patient[[#This Row],[Age]]&gt;60,"Senior")</f>
        <v>Senior</v>
      </c>
      <c r="Q368" t="str" cm="1">
        <f t="array" ref="Q3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8">
        <f>YEAR(Hospital_Patient[[#This Row],[Discharge_Date]])</f>
        <v>2024</v>
      </c>
    </row>
    <row r="369" spans="1:18" x14ac:dyDescent="0.25">
      <c r="A369">
        <v>591</v>
      </c>
      <c r="B369">
        <v>48</v>
      </c>
      <c r="C369" t="s">
        <v>15</v>
      </c>
      <c r="D369" t="s">
        <v>16</v>
      </c>
      <c r="E369" t="s">
        <v>17</v>
      </c>
      <c r="F369" s="5">
        <v>45430</v>
      </c>
      <c r="G369" s="5">
        <v>45475</v>
      </c>
      <c r="H369" t="s">
        <v>73</v>
      </c>
      <c r="I369">
        <v>2024</v>
      </c>
      <c r="J369">
        <v>45</v>
      </c>
      <c r="K369" t="s">
        <v>21</v>
      </c>
      <c r="L369" t="s">
        <v>20</v>
      </c>
      <c r="M369">
        <v>4</v>
      </c>
      <c r="N369" t="s">
        <v>19</v>
      </c>
      <c r="O369">
        <v>15000</v>
      </c>
      <c r="P369" t="str" cm="1">
        <f t="array" ref="P369">_xlfn.IFS(Hospital_Patient[[#This Row],[Age]]&lt;=18,"Young",Hospital_Patient[[#This Row],[Age]]&lt;=36,"Adult",Hospital_Patient[[#This Row],[Age]]&lt;=60,"Middle Age",Hospital_Patient[[#This Row],[Age]]&gt;60,"Senior")</f>
        <v>Middle Age</v>
      </c>
      <c r="Q369" t="str" cm="1">
        <f t="array" ref="Q3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69">
        <f>YEAR(Hospital_Patient[[#This Row],[Discharge_Date]])</f>
        <v>2024</v>
      </c>
    </row>
    <row r="370" spans="1:18" hidden="1" x14ac:dyDescent="0.25">
      <c r="A370">
        <v>651</v>
      </c>
      <c r="B370">
        <v>65</v>
      </c>
      <c r="C370" t="s">
        <v>22</v>
      </c>
      <c r="D370" t="s">
        <v>23</v>
      </c>
      <c r="E370" t="s">
        <v>24</v>
      </c>
      <c r="F370" s="5">
        <v>45423</v>
      </c>
      <c r="G370" s="5">
        <v>45470</v>
      </c>
      <c r="H370" t="s">
        <v>71</v>
      </c>
      <c r="I370">
        <v>2024</v>
      </c>
      <c r="J370">
        <v>47</v>
      </c>
      <c r="K370" t="s">
        <v>19</v>
      </c>
      <c r="L370" t="s">
        <v>26</v>
      </c>
      <c r="M370">
        <v>3</v>
      </c>
      <c r="N370" t="s">
        <v>19</v>
      </c>
      <c r="O370">
        <v>2000</v>
      </c>
      <c r="P370" t="str" cm="1">
        <f t="array" ref="P370">_xlfn.IFS(Hospital_Patient[[#This Row],[Age]]&lt;=18,"Young",Hospital_Patient[[#This Row],[Age]]&lt;=36,"Adult",Hospital_Patient[[#This Row],[Age]]&lt;=60,"Middle Age",Hospital_Patient[[#This Row],[Age]]&gt;60,"Senior")</f>
        <v>Senior</v>
      </c>
      <c r="Q370" t="str" cm="1">
        <f t="array" ref="Q3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0">
        <f>YEAR(Hospital_Patient[[#This Row],[Discharge_Date]])</f>
        <v>2024</v>
      </c>
    </row>
    <row r="371" spans="1:18" hidden="1" x14ac:dyDescent="0.25">
      <c r="A371">
        <v>853</v>
      </c>
      <c r="B371">
        <v>67</v>
      </c>
      <c r="C371" t="s">
        <v>22</v>
      </c>
      <c r="D371" t="s">
        <v>52</v>
      </c>
      <c r="E371" t="s">
        <v>53</v>
      </c>
      <c r="F371" s="5">
        <v>45404</v>
      </c>
      <c r="G371" s="5">
        <v>45470</v>
      </c>
      <c r="H371" t="s">
        <v>29</v>
      </c>
      <c r="I371">
        <v>2024</v>
      </c>
      <c r="J371">
        <v>66</v>
      </c>
      <c r="K371" t="s">
        <v>19</v>
      </c>
      <c r="L371" t="s">
        <v>20</v>
      </c>
      <c r="M371">
        <v>3</v>
      </c>
      <c r="N371" t="s">
        <v>19</v>
      </c>
      <c r="O371">
        <v>20000</v>
      </c>
      <c r="P371" t="str" cm="1">
        <f t="array" ref="P371">_xlfn.IFS(Hospital_Patient[[#This Row],[Age]]&lt;=18,"Young",Hospital_Patient[[#This Row],[Age]]&lt;=36,"Adult",Hospital_Patient[[#This Row],[Age]]&lt;=60,"Middle Age",Hospital_Patient[[#This Row],[Age]]&gt;60,"Senior")</f>
        <v>Senior</v>
      </c>
      <c r="Q371" t="str" cm="1">
        <f t="array" ref="Q3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71">
        <f>YEAR(Hospital_Patient[[#This Row],[Discharge_Date]])</f>
        <v>2024</v>
      </c>
    </row>
    <row r="372" spans="1:18" x14ac:dyDescent="0.25">
      <c r="A372">
        <v>638</v>
      </c>
      <c r="B372">
        <v>35</v>
      </c>
      <c r="C372" t="s">
        <v>15</v>
      </c>
      <c r="D372" t="s">
        <v>27</v>
      </c>
      <c r="E372" t="s">
        <v>28</v>
      </c>
      <c r="F372" s="5">
        <v>45424</v>
      </c>
      <c r="G372" s="5">
        <v>45468</v>
      </c>
      <c r="H372" t="s">
        <v>70</v>
      </c>
      <c r="I372">
        <v>2024</v>
      </c>
      <c r="J372">
        <v>44</v>
      </c>
      <c r="K372" t="s">
        <v>21</v>
      </c>
      <c r="L372" t="s">
        <v>20</v>
      </c>
      <c r="M372">
        <v>5</v>
      </c>
      <c r="N372" t="s">
        <v>19</v>
      </c>
      <c r="O372">
        <v>500</v>
      </c>
      <c r="P372" t="str" cm="1">
        <f t="array" ref="P372">_xlfn.IFS(Hospital_Patient[[#This Row],[Age]]&lt;=18,"Young",Hospital_Patient[[#This Row],[Age]]&lt;=36,"Adult",Hospital_Patient[[#This Row],[Age]]&lt;=60,"Middle Age",Hospital_Patient[[#This Row],[Age]]&gt;60,"Senior")</f>
        <v>Adult</v>
      </c>
      <c r="Q372" t="str" cm="1">
        <f t="array" ref="Q3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2">
        <f>YEAR(Hospital_Patient[[#This Row],[Discharge_Date]])</f>
        <v>2024</v>
      </c>
    </row>
    <row r="373" spans="1:18" hidden="1" x14ac:dyDescent="0.25">
      <c r="A373">
        <v>643</v>
      </c>
      <c r="B373">
        <v>45</v>
      </c>
      <c r="C373" t="s">
        <v>22</v>
      </c>
      <c r="D373" t="s">
        <v>42</v>
      </c>
      <c r="E373" t="s">
        <v>43</v>
      </c>
      <c r="F373" s="5">
        <v>45418</v>
      </c>
      <c r="G373" s="5">
        <v>45467</v>
      </c>
      <c r="H373" t="s">
        <v>44</v>
      </c>
      <c r="I373">
        <v>2024</v>
      </c>
      <c r="J373">
        <v>49</v>
      </c>
      <c r="K373" t="s">
        <v>19</v>
      </c>
      <c r="L373" t="s">
        <v>20</v>
      </c>
      <c r="M373">
        <v>4</v>
      </c>
      <c r="N373" t="s">
        <v>19</v>
      </c>
      <c r="O373">
        <v>3000</v>
      </c>
      <c r="P373" t="str" cm="1">
        <f t="array" ref="P373">_xlfn.IFS(Hospital_Patient[[#This Row],[Age]]&lt;=18,"Young",Hospital_Patient[[#This Row],[Age]]&lt;=36,"Adult",Hospital_Patient[[#This Row],[Age]]&lt;=60,"Middle Age",Hospital_Patient[[#This Row],[Age]]&gt;60,"Senior")</f>
        <v>Middle Age</v>
      </c>
      <c r="Q373" t="str" cm="1">
        <f t="array" ref="Q3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3">
        <f>YEAR(Hospital_Patient[[#This Row],[Discharge_Date]])</f>
        <v>2024</v>
      </c>
    </row>
    <row r="374" spans="1:18" hidden="1" x14ac:dyDescent="0.25">
      <c r="A374">
        <v>949</v>
      </c>
      <c r="B374">
        <v>70</v>
      </c>
      <c r="C374" t="s">
        <v>22</v>
      </c>
      <c r="D374" t="s">
        <v>30</v>
      </c>
      <c r="E374" t="s">
        <v>31</v>
      </c>
      <c r="F374" s="5">
        <v>45393</v>
      </c>
      <c r="G374" s="5">
        <v>45465</v>
      </c>
      <c r="H374" t="s">
        <v>32</v>
      </c>
      <c r="I374">
        <v>2024</v>
      </c>
      <c r="J374">
        <v>72</v>
      </c>
      <c r="K374" t="s">
        <v>21</v>
      </c>
      <c r="L374" t="s">
        <v>26</v>
      </c>
      <c r="M374">
        <v>2</v>
      </c>
      <c r="N374" t="s">
        <v>19</v>
      </c>
      <c r="O374">
        <v>10000</v>
      </c>
      <c r="P374" t="str" cm="1">
        <f t="array" ref="P374">_xlfn.IFS(Hospital_Patient[[#This Row],[Age]]&lt;=18,"Young",Hospital_Patient[[#This Row],[Age]]&lt;=36,"Adult",Hospital_Patient[[#This Row],[Age]]&lt;=60,"Middle Age",Hospital_Patient[[#This Row],[Age]]&gt;60,"Senior")</f>
        <v>Senior</v>
      </c>
      <c r="Q374" t="str" cm="1">
        <f t="array" ref="Q3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74">
        <f>YEAR(Hospital_Patient[[#This Row],[Discharge_Date]])</f>
        <v>2024</v>
      </c>
    </row>
    <row r="375" spans="1:18" hidden="1" x14ac:dyDescent="0.25">
      <c r="A375">
        <v>150</v>
      </c>
      <c r="B375">
        <v>65</v>
      </c>
      <c r="C375" t="s">
        <v>22</v>
      </c>
      <c r="D375" t="s">
        <v>23</v>
      </c>
      <c r="E375" t="s">
        <v>24</v>
      </c>
      <c r="F375" s="5">
        <v>45450</v>
      </c>
      <c r="G375" s="5">
        <v>45463</v>
      </c>
      <c r="H375" t="s">
        <v>71</v>
      </c>
      <c r="I375">
        <v>2024</v>
      </c>
      <c r="J375">
        <v>13</v>
      </c>
      <c r="K375" t="s">
        <v>19</v>
      </c>
      <c r="L375" t="s">
        <v>26</v>
      </c>
      <c r="M375">
        <v>3</v>
      </c>
      <c r="N375" t="s">
        <v>19</v>
      </c>
      <c r="O375">
        <v>2000</v>
      </c>
      <c r="P375" t="str" cm="1">
        <f t="array" ref="P375">_xlfn.IFS(Hospital_Patient[[#This Row],[Age]]&lt;=18,"Young",Hospital_Patient[[#This Row],[Age]]&lt;=36,"Adult",Hospital_Patient[[#This Row],[Age]]&lt;=60,"Middle Age",Hospital_Patient[[#This Row],[Age]]&gt;60,"Senior")</f>
        <v>Senior</v>
      </c>
      <c r="Q375" t="str" cm="1">
        <f t="array" ref="Q3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75">
        <f>YEAR(Hospital_Patient[[#This Row],[Discharge_Date]])</f>
        <v>2024</v>
      </c>
    </row>
    <row r="376" spans="1:18" hidden="1" x14ac:dyDescent="0.25">
      <c r="A376">
        <v>213</v>
      </c>
      <c r="B376">
        <v>68</v>
      </c>
      <c r="C376" t="s">
        <v>22</v>
      </c>
      <c r="D376" t="s">
        <v>36</v>
      </c>
      <c r="E376" t="s">
        <v>37</v>
      </c>
      <c r="F376" s="5">
        <v>45445</v>
      </c>
      <c r="G376" s="5">
        <v>45461</v>
      </c>
      <c r="H376" t="s">
        <v>38</v>
      </c>
      <c r="I376">
        <v>2024</v>
      </c>
      <c r="J376">
        <v>16</v>
      </c>
      <c r="K376" t="s">
        <v>19</v>
      </c>
      <c r="L376" t="s">
        <v>26</v>
      </c>
      <c r="M376">
        <v>4</v>
      </c>
      <c r="N376" t="s">
        <v>21</v>
      </c>
      <c r="O376">
        <v>1000</v>
      </c>
      <c r="P376" t="str" cm="1">
        <f t="array" ref="P376">_xlfn.IFS(Hospital_Patient[[#This Row],[Age]]&lt;=18,"Young",Hospital_Patient[[#This Row],[Age]]&lt;=36,"Adult",Hospital_Patient[[#This Row],[Age]]&lt;=60,"Middle Age",Hospital_Patient[[#This Row],[Age]]&gt;60,"Senior")</f>
        <v>Senior</v>
      </c>
      <c r="Q376" t="str" cm="1">
        <f t="array" ref="Q3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76">
        <f>YEAR(Hospital_Patient[[#This Row],[Discharge_Date]])</f>
        <v>2024</v>
      </c>
    </row>
    <row r="377" spans="1:18" hidden="1" x14ac:dyDescent="0.25">
      <c r="A377">
        <v>118</v>
      </c>
      <c r="B377">
        <v>50</v>
      </c>
      <c r="C377" t="s">
        <v>22</v>
      </c>
      <c r="D377" t="s">
        <v>57</v>
      </c>
      <c r="E377" t="s">
        <v>58</v>
      </c>
      <c r="F377" s="5">
        <v>45449</v>
      </c>
      <c r="G377" s="5">
        <v>45460</v>
      </c>
      <c r="H377" t="s">
        <v>51</v>
      </c>
      <c r="I377">
        <v>2024</v>
      </c>
      <c r="J377">
        <v>11</v>
      </c>
      <c r="K377" t="s">
        <v>19</v>
      </c>
      <c r="L377" t="s">
        <v>20</v>
      </c>
      <c r="M377">
        <v>3</v>
      </c>
      <c r="N377" t="s">
        <v>19</v>
      </c>
      <c r="O377">
        <v>6000</v>
      </c>
      <c r="P377" t="str" cm="1">
        <f t="array" ref="P377">_xlfn.IFS(Hospital_Patient[[#This Row],[Age]]&lt;=18,"Young",Hospital_Patient[[#This Row],[Age]]&lt;=36,"Adult",Hospital_Patient[[#This Row],[Age]]&lt;=60,"Middle Age",Hospital_Patient[[#This Row],[Age]]&gt;60,"Senior")</f>
        <v>Middle Age</v>
      </c>
      <c r="Q377" t="str" cm="1">
        <f t="array" ref="Q3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77">
        <f>YEAR(Hospital_Patient[[#This Row],[Discharge_Date]])</f>
        <v>2024</v>
      </c>
    </row>
    <row r="378" spans="1:18" hidden="1" x14ac:dyDescent="0.25">
      <c r="A378">
        <v>432</v>
      </c>
      <c r="B378">
        <v>78</v>
      </c>
      <c r="C378" t="s">
        <v>22</v>
      </c>
      <c r="D378" t="s">
        <v>30</v>
      </c>
      <c r="E378" t="s">
        <v>31</v>
      </c>
      <c r="F378" s="5">
        <v>45420</v>
      </c>
      <c r="G378" s="5">
        <v>45457</v>
      </c>
      <c r="H378" t="s">
        <v>32</v>
      </c>
      <c r="I378">
        <v>2024</v>
      </c>
      <c r="J378">
        <v>37</v>
      </c>
      <c r="K378" t="s">
        <v>19</v>
      </c>
      <c r="L378" t="s">
        <v>26</v>
      </c>
      <c r="M378">
        <v>2</v>
      </c>
      <c r="N378" t="s">
        <v>19</v>
      </c>
      <c r="O378">
        <v>10000</v>
      </c>
      <c r="P378" t="str" cm="1">
        <f t="array" ref="P378">_xlfn.IFS(Hospital_Patient[[#This Row],[Age]]&lt;=18,"Young",Hospital_Patient[[#This Row],[Age]]&lt;=36,"Adult",Hospital_Patient[[#This Row],[Age]]&lt;=60,"Middle Age",Hospital_Patient[[#This Row],[Age]]&gt;60,"Senior")</f>
        <v>Senior</v>
      </c>
      <c r="Q378" t="str" cm="1">
        <f t="array" ref="Q3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8">
        <f>YEAR(Hospital_Patient[[#This Row],[Discharge_Date]])</f>
        <v>2024</v>
      </c>
    </row>
    <row r="379" spans="1:18" x14ac:dyDescent="0.25">
      <c r="A379">
        <v>640</v>
      </c>
      <c r="B379">
        <v>53</v>
      </c>
      <c r="C379" t="s">
        <v>15</v>
      </c>
      <c r="D379" t="s">
        <v>33</v>
      </c>
      <c r="E379" t="s">
        <v>34</v>
      </c>
      <c r="F379" s="5">
        <v>45404</v>
      </c>
      <c r="G379" s="5">
        <v>45457</v>
      </c>
      <c r="H379" t="s">
        <v>35</v>
      </c>
      <c r="I379">
        <v>2024</v>
      </c>
      <c r="J379">
        <v>53</v>
      </c>
      <c r="K379" t="s">
        <v>21</v>
      </c>
      <c r="L379" t="s">
        <v>20</v>
      </c>
      <c r="M379">
        <v>4</v>
      </c>
      <c r="N379" t="s">
        <v>21</v>
      </c>
      <c r="O379">
        <v>25000</v>
      </c>
      <c r="P379" t="str" cm="1">
        <f t="array" ref="P379">_xlfn.IFS(Hospital_Patient[[#This Row],[Age]]&lt;=18,"Young",Hospital_Patient[[#This Row],[Age]]&lt;=36,"Adult",Hospital_Patient[[#This Row],[Age]]&lt;=60,"Middle Age",Hospital_Patient[[#This Row],[Age]]&gt;60,"Senior")</f>
        <v>Middle Age</v>
      </c>
      <c r="Q379" t="str" cm="1">
        <f t="array" ref="Q3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79">
        <f>YEAR(Hospital_Patient[[#This Row],[Discharge_Date]])</f>
        <v>2024</v>
      </c>
    </row>
    <row r="380" spans="1:18" hidden="1" x14ac:dyDescent="0.25">
      <c r="A380">
        <v>936</v>
      </c>
      <c r="B380">
        <v>72</v>
      </c>
      <c r="C380" t="s">
        <v>22</v>
      </c>
      <c r="D380" t="s">
        <v>36</v>
      </c>
      <c r="E380" t="s">
        <v>37</v>
      </c>
      <c r="F380" s="5">
        <v>45389</v>
      </c>
      <c r="G380" s="5">
        <v>45456</v>
      </c>
      <c r="H380" t="s">
        <v>69</v>
      </c>
      <c r="I380">
        <v>2024</v>
      </c>
      <c r="J380">
        <v>67</v>
      </c>
      <c r="K380" t="s">
        <v>19</v>
      </c>
      <c r="L380" t="s">
        <v>26</v>
      </c>
      <c r="M380">
        <v>4</v>
      </c>
      <c r="N380" t="s">
        <v>19</v>
      </c>
      <c r="O380">
        <v>1000</v>
      </c>
      <c r="P380" t="str" cm="1">
        <f t="array" ref="P380">_xlfn.IFS(Hospital_Patient[[#This Row],[Age]]&lt;=18,"Young",Hospital_Patient[[#This Row],[Age]]&lt;=36,"Adult",Hospital_Patient[[#This Row],[Age]]&lt;=60,"Middle Age",Hospital_Patient[[#This Row],[Age]]&gt;60,"Senior")</f>
        <v>Senior</v>
      </c>
      <c r="Q380" t="str" cm="1">
        <f t="array" ref="Q3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80">
        <f>YEAR(Hospital_Patient[[#This Row],[Discharge_Date]])</f>
        <v>2024</v>
      </c>
    </row>
    <row r="381" spans="1:18" x14ac:dyDescent="0.25">
      <c r="A381">
        <v>288</v>
      </c>
      <c r="B381">
        <v>60</v>
      </c>
      <c r="C381" t="s">
        <v>15</v>
      </c>
      <c r="D381" t="s">
        <v>39</v>
      </c>
      <c r="E381" t="s">
        <v>40</v>
      </c>
      <c r="F381" s="5">
        <v>45432</v>
      </c>
      <c r="G381" s="5">
        <v>45455</v>
      </c>
      <c r="H381" t="s">
        <v>18</v>
      </c>
      <c r="I381">
        <v>2024</v>
      </c>
      <c r="J381">
        <v>23</v>
      </c>
      <c r="K381" t="s">
        <v>21</v>
      </c>
      <c r="L381" t="s">
        <v>20</v>
      </c>
      <c r="M381">
        <v>3</v>
      </c>
      <c r="N381" t="s">
        <v>21</v>
      </c>
      <c r="O381">
        <v>8000</v>
      </c>
      <c r="P381" t="str" cm="1">
        <f t="array" ref="P381">_xlfn.IFS(Hospital_Patient[[#This Row],[Age]]&lt;=18,"Young",Hospital_Patient[[#This Row],[Age]]&lt;=36,"Adult",Hospital_Patient[[#This Row],[Age]]&lt;=60,"Middle Age",Hospital_Patient[[#This Row],[Age]]&gt;60,"Senior")</f>
        <v>Middle Age</v>
      </c>
      <c r="Q381" t="str" cm="1">
        <f t="array" ref="Q3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81">
        <f>YEAR(Hospital_Patient[[#This Row],[Discharge_Date]])</f>
        <v>2024</v>
      </c>
    </row>
    <row r="382" spans="1:18" x14ac:dyDescent="0.25">
      <c r="A382">
        <v>713</v>
      </c>
      <c r="B382">
        <v>55</v>
      </c>
      <c r="C382" t="s">
        <v>15</v>
      </c>
      <c r="D382" t="s">
        <v>33</v>
      </c>
      <c r="E382" t="s">
        <v>34</v>
      </c>
      <c r="F382" s="5">
        <v>45396</v>
      </c>
      <c r="G382" s="5">
        <v>45454</v>
      </c>
      <c r="H382" t="s">
        <v>64</v>
      </c>
      <c r="I382">
        <v>2024</v>
      </c>
      <c r="J382">
        <v>58</v>
      </c>
      <c r="K382" t="s">
        <v>19</v>
      </c>
      <c r="L382" t="s">
        <v>20</v>
      </c>
      <c r="M382">
        <v>4</v>
      </c>
      <c r="N382" t="s">
        <v>21</v>
      </c>
      <c r="O382">
        <v>25000</v>
      </c>
      <c r="P382" t="str" cm="1">
        <f t="array" ref="P382">_xlfn.IFS(Hospital_Patient[[#This Row],[Age]]&lt;=18,"Young",Hospital_Patient[[#This Row],[Age]]&lt;=36,"Adult",Hospital_Patient[[#This Row],[Age]]&lt;=60,"Middle Age",Hospital_Patient[[#This Row],[Age]]&gt;60,"Senior")</f>
        <v>Middle Age</v>
      </c>
      <c r="Q382" t="str" cm="1">
        <f t="array" ref="Q3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82">
        <f>YEAR(Hospital_Patient[[#This Row],[Discharge_Date]])</f>
        <v>2024</v>
      </c>
    </row>
    <row r="383" spans="1:18" hidden="1" x14ac:dyDescent="0.25">
      <c r="A383">
        <v>287</v>
      </c>
      <c r="B383">
        <v>72</v>
      </c>
      <c r="C383" t="s">
        <v>22</v>
      </c>
      <c r="D383" t="s">
        <v>36</v>
      </c>
      <c r="E383" t="s">
        <v>37</v>
      </c>
      <c r="F383" s="5">
        <v>45427</v>
      </c>
      <c r="G383" s="5">
        <v>45448</v>
      </c>
      <c r="H383" t="s">
        <v>69</v>
      </c>
      <c r="I383">
        <v>2024</v>
      </c>
      <c r="J383">
        <v>21</v>
      </c>
      <c r="K383" t="s">
        <v>19</v>
      </c>
      <c r="L383" t="s">
        <v>26</v>
      </c>
      <c r="M383">
        <v>4</v>
      </c>
      <c r="N383" t="s">
        <v>19</v>
      </c>
      <c r="O383">
        <v>1000</v>
      </c>
      <c r="P383" t="str" cm="1">
        <f t="array" ref="P383">_xlfn.IFS(Hospital_Patient[[#This Row],[Age]]&lt;=18,"Young",Hospital_Patient[[#This Row],[Age]]&lt;=36,"Adult",Hospital_Patient[[#This Row],[Age]]&lt;=60,"Middle Age",Hospital_Patient[[#This Row],[Age]]&gt;60,"Senior")</f>
        <v>Senior</v>
      </c>
      <c r="Q383" t="str" cm="1">
        <f t="array" ref="Q3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83">
        <f>YEAR(Hospital_Patient[[#This Row],[Discharge_Date]])</f>
        <v>2024</v>
      </c>
    </row>
    <row r="384" spans="1:18" x14ac:dyDescent="0.25">
      <c r="A384">
        <v>974</v>
      </c>
      <c r="B384">
        <v>60</v>
      </c>
      <c r="C384" t="s">
        <v>15</v>
      </c>
      <c r="D384" t="s">
        <v>59</v>
      </c>
      <c r="E384" t="s">
        <v>60</v>
      </c>
      <c r="F384" s="5">
        <v>45378</v>
      </c>
      <c r="G384" s="5">
        <v>45448</v>
      </c>
      <c r="H384" t="s">
        <v>61</v>
      </c>
      <c r="I384">
        <v>2024</v>
      </c>
      <c r="J384">
        <v>70</v>
      </c>
      <c r="K384" t="s">
        <v>19</v>
      </c>
      <c r="L384" t="s">
        <v>26</v>
      </c>
      <c r="M384">
        <v>4</v>
      </c>
      <c r="N384" t="s">
        <v>21</v>
      </c>
      <c r="O384">
        <v>4000</v>
      </c>
      <c r="P384" t="str" cm="1">
        <f t="array" ref="P384">_xlfn.IFS(Hospital_Patient[[#This Row],[Age]]&lt;=18,"Young",Hospital_Patient[[#This Row],[Age]]&lt;=36,"Adult",Hospital_Patient[[#This Row],[Age]]&lt;=60,"Middle Age",Hospital_Patient[[#This Row],[Age]]&gt;60,"Senior")</f>
        <v>Middle Age</v>
      </c>
      <c r="Q384" t="str" cm="1">
        <f t="array" ref="Q3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84">
        <f>YEAR(Hospital_Patient[[#This Row],[Discharge_Date]])</f>
        <v>2024</v>
      </c>
    </row>
    <row r="385" spans="1:18" hidden="1" x14ac:dyDescent="0.25">
      <c r="A385">
        <v>890</v>
      </c>
      <c r="B385">
        <v>70</v>
      </c>
      <c r="C385" t="s">
        <v>22</v>
      </c>
      <c r="D385" t="s">
        <v>30</v>
      </c>
      <c r="E385" t="s">
        <v>31</v>
      </c>
      <c r="F385" s="5">
        <v>45379</v>
      </c>
      <c r="G385" s="5">
        <v>45447</v>
      </c>
      <c r="H385" t="s">
        <v>63</v>
      </c>
      <c r="I385">
        <v>2024</v>
      </c>
      <c r="J385">
        <v>68</v>
      </c>
      <c r="K385" t="s">
        <v>21</v>
      </c>
      <c r="L385" t="s">
        <v>26</v>
      </c>
      <c r="M385">
        <v>2</v>
      </c>
      <c r="N385" t="s">
        <v>19</v>
      </c>
      <c r="O385">
        <v>10000</v>
      </c>
      <c r="P385" t="str" cm="1">
        <f t="array" ref="P385">_xlfn.IFS(Hospital_Patient[[#This Row],[Age]]&lt;=18,"Young",Hospital_Patient[[#This Row],[Age]]&lt;=36,"Adult",Hospital_Patient[[#This Row],[Age]]&lt;=60,"Middle Age",Hospital_Patient[[#This Row],[Age]]&gt;60,"Senior")</f>
        <v>Senior</v>
      </c>
      <c r="Q385" t="str" cm="1">
        <f t="array" ref="Q3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85">
        <f>YEAR(Hospital_Patient[[#This Row],[Discharge_Date]])</f>
        <v>2024</v>
      </c>
    </row>
    <row r="386" spans="1:18" hidden="1" x14ac:dyDescent="0.25">
      <c r="A386">
        <v>415</v>
      </c>
      <c r="B386">
        <v>65</v>
      </c>
      <c r="C386" t="s">
        <v>22</v>
      </c>
      <c r="D386" t="s">
        <v>23</v>
      </c>
      <c r="E386" t="s">
        <v>24</v>
      </c>
      <c r="F386" s="5">
        <v>45415</v>
      </c>
      <c r="G386" s="5">
        <v>45446</v>
      </c>
      <c r="H386" t="s">
        <v>71</v>
      </c>
      <c r="I386">
        <v>2024</v>
      </c>
      <c r="J386">
        <v>31</v>
      </c>
      <c r="K386" t="s">
        <v>19</v>
      </c>
      <c r="L386" t="s">
        <v>26</v>
      </c>
      <c r="M386">
        <v>3</v>
      </c>
      <c r="N386" t="s">
        <v>21</v>
      </c>
      <c r="O386">
        <v>2000</v>
      </c>
      <c r="P386" t="str" cm="1">
        <f t="array" ref="P386">_xlfn.IFS(Hospital_Patient[[#This Row],[Age]]&lt;=18,"Young",Hospital_Patient[[#This Row],[Age]]&lt;=36,"Adult",Hospital_Patient[[#This Row],[Age]]&lt;=60,"Middle Age",Hospital_Patient[[#This Row],[Age]]&gt;60,"Senior")</f>
        <v>Senior</v>
      </c>
      <c r="Q386" t="str" cm="1">
        <f t="array" ref="Q3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86">
        <f>YEAR(Hospital_Patient[[#This Row],[Discharge_Date]])</f>
        <v>2024</v>
      </c>
    </row>
    <row r="387" spans="1:18" hidden="1" x14ac:dyDescent="0.25">
      <c r="A387">
        <v>177</v>
      </c>
      <c r="B387">
        <v>50</v>
      </c>
      <c r="C387" t="s">
        <v>22</v>
      </c>
      <c r="D387" t="s">
        <v>57</v>
      </c>
      <c r="E387" t="s">
        <v>58</v>
      </c>
      <c r="F387" s="5">
        <v>45429</v>
      </c>
      <c r="G387" s="5">
        <v>45444</v>
      </c>
      <c r="H387" t="s">
        <v>44</v>
      </c>
      <c r="I387">
        <v>2024</v>
      </c>
      <c r="J387">
        <v>15</v>
      </c>
      <c r="K387" t="s">
        <v>19</v>
      </c>
      <c r="L387" t="s">
        <v>20</v>
      </c>
      <c r="M387">
        <v>3</v>
      </c>
      <c r="N387" t="s">
        <v>19</v>
      </c>
      <c r="O387">
        <v>6000</v>
      </c>
      <c r="P387" t="str" cm="1">
        <f t="array" ref="P387">_xlfn.IFS(Hospital_Patient[[#This Row],[Age]]&lt;=18,"Young",Hospital_Patient[[#This Row],[Age]]&lt;=36,"Adult",Hospital_Patient[[#This Row],[Age]]&lt;=60,"Middle Age",Hospital_Patient[[#This Row],[Age]]&gt;60,"Senior")</f>
        <v>Middle Age</v>
      </c>
      <c r="Q387" t="str" cm="1">
        <f t="array" ref="Q3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87">
        <f>YEAR(Hospital_Patient[[#This Row],[Discharge_Date]])</f>
        <v>2024</v>
      </c>
    </row>
    <row r="388" spans="1:18" x14ac:dyDescent="0.25">
      <c r="A388">
        <v>361</v>
      </c>
      <c r="B388">
        <v>45</v>
      </c>
      <c r="C388" t="s">
        <v>15</v>
      </c>
      <c r="D388" t="s">
        <v>39</v>
      </c>
      <c r="E388" t="s">
        <v>40</v>
      </c>
      <c r="F388" s="5">
        <v>45415</v>
      </c>
      <c r="G388" s="5">
        <v>45443</v>
      </c>
      <c r="H388" t="s">
        <v>41</v>
      </c>
      <c r="I388">
        <v>2024</v>
      </c>
      <c r="J388">
        <v>28</v>
      </c>
      <c r="K388" t="s">
        <v>19</v>
      </c>
      <c r="L388" t="s">
        <v>20</v>
      </c>
      <c r="M388">
        <v>3</v>
      </c>
      <c r="N388" t="s">
        <v>21</v>
      </c>
      <c r="O388">
        <v>8000</v>
      </c>
      <c r="P388" t="str" cm="1">
        <f t="array" ref="P388">_xlfn.IFS(Hospital_Patient[[#This Row],[Age]]&lt;=18,"Young",Hospital_Patient[[#This Row],[Age]]&lt;=36,"Adult",Hospital_Patient[[#This Row],[Age]]&lt;=60,"Middle Age",Hospital_Patient[[#This Row],[Age]]&gt;60,"Senior")</f>
        <v>Middle Age</v>
      </c>
      <c r="Q388" t="str" cm="1">
        <f t="array" ref="Q3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88">
        <f>YEAR(Hospital_Patient[[#This Row],[Discharge_Date]])</f>
        <v>2024</v>
      </c>
    </row>
    <row r="389" spans="1:18" x14ac:dyDescent="0.25">
      <c r="A389">
        <v>673</v>
      </c>
      <c r="B389">
        <v>75</v>
      </c>
      <c r="C389" t="s">
        <v>15</v>
      </c>
      <c r="D389" t="s">
        <v>45</v>
      </c>
      <c r="E389" t="s">
        <v>46</v>
      </c>
      <c r="F389" s="5">
        <v>45389</v>
      </c>
      <c r="G389" s="5">
        <v>45442</v>
      </c>
      <c r="H389" t="s">
        <v>18</v>
      </c>
      <c r="I389">
        <v>2024</v>
      </c>
      <c r="J389">
        <v>53</v>
      </c>
      <c r="K389" t="s">
        <v>21</v>
      </c>
      <c r="L389" t="s">
        <v>26</v>
      </c>
      <c r="M389">
        <v>2</v>
      </c>
      <c r="N389" t="s">
        <v>19</v>
      </c>
      <c r="O389">
        <v>18000</v>
      </c>
      <c r="P389" t="str" cm="1">
        <f t="array" ref="P389">_xlfn.IFS(Hospital_Patient[[#This Row],[Age]]&lt;=18,"Young",Hospital_Patient[[#This Row],[Age]]&lt;=36,"Adult",Hospital_Patient[[#This Row],[Age]]&lt;=60,"Middle Age",Hospital_Patient[[#This Row],[Age]]&gt;60,"Senior")</f>
        <v>Senior</v>
      </c>
      <c r="Q389" t="str" cm="1">
        <f t="array" ref="Q3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89">
        <f>YEAR(Hospital_Patient[[#This Row],[Discharge_Date]])</f>
        <v>2024</v>
      </c>
    </row>
    <row r="390" spans="1:18" hidden="1" x14ac:dyDescent="0.25">
      <c r="A390">
        <v>471</v>
      </c>
      <c r="B390">
        <v>50</v>
      </c>
      <c r="C390" t="s">
        <v>22</v>
      </c>
      <c r="D390" t="s">
        <v>57</v>
      </c>
      <c r="E390" t="s">
        <v>58</v>
      </c>
      <c r="F390" s="5">
        <v>45405</v>
      </c>
      <c r="G390" s="5">
        <v>45440</v>
      </c>
      <c r="H390" t="s">
        <v>76</v>
      </c>
      <c r="I390">
        <v>2024</v>
      </c>
      <c r="J390">
        <v>35</v>
      </c>
      <c r="K390" t="s">
        <v>19</v>
      </c>
      <c r="L390" t="s">
        <v>20</v>
      </c>
      <c r="M390">
        <v>3</v>
      </c>
      <c r="N390" t="s">
        <v>19</v>
      </c>
      <c r="O390">
        <v>6000</v>
      </c>
      <c r="P390" t="str" cm="1">
        <f t="array" ref="P390">_xlfn.IFS(Hospital_Patient[[#This Row],[Age]]&lt;=18,"Young",Hospital_Patient[[#This Row],[Age]]&lt;=36,"Adult",Hospital_Patient[[#This Row],[Age]]&lt;=60,"Middle Age",Hospital_Patient[[#This Row],[Age]]&gt;60,"Senior")</f>
        <v>Middle Age</v>
      </c>
      <c r="Q390" t="str" cm="1">
        <f t="array" ref="Q3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90">
        <f>YEAR(Hospital_Patient[[#This Row],[Discharge_Date]])</f>
        <v>2024</v>
      </c>
    </row>
    <row r="391" spans="1:18" x14ac:dyDescent="0.25">
      <c r="A391">
        <v>107</v>
      </c>
      <c r="B391">
        <v>35</v>
      </c>
      <c r="C391" t="s">
        <v>15</v>
      </c>
      <c r="D391" t="s">
        <v>27</v>
      </c>
      <c r="E391" t="s">
        <v>28</v>
      </c>
      <c r="F391" s="5">
        <v>45431</v>
      </c>
      <c r="G391" s="5">
        <v>45439</v>
      </c>
      <c r="H391" t="s">
        <v>29</v>
      </c>
      <c r="I391">
        <v>2024</v>
      </c>
      <c r="J391">
        <v>8</v>
      </c>
      <c r="K391" t="s">
        <v>21</v>
      </c>
      <c r="L391" t="s">
        <v>20</v>
      </c>
      <c r="M391">
        <v>5</v>
      </c>
      <c r="N391" t="s">
        <v>19</v>
      </c>
      <c r="O391">
        <v>500</v>
      </c>
      <c r="P391" t="str" cm="1">
        <f t="array" ref="P391">_xlfn.IFS(Hospital_Patient[[#This Row],[Age]]&lt;=18,"Young",Hospital_Patient[[#This Row],[Age]]&lt;=36,"Adult",Hospital_Patient[[#This Row],[Age]]&lt;=60,"Middle Age",Hospital_Patient[[#This Row],[Age]]&gt;60,"Senior")</f>
        <v>Adult</v>
      </c>
      <c r="Q391" t="str" cm="1">
        <f t="array" ref="Q3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391">
        <f>YEAR(Hospital_Patient[[#This Row],[Discharge_Date]])</f>
        <v>2024</v>
      </c>
    </row>
    <row r="392" spans="1:18" x14ac:dyDescent="0.25">
      <c r="A392">
        <v>918</v>
      </c>
      <c r="B392">
        <v>30</v>
      </c>
      <c r="C392" t="s">
        <v>15</v>
      </c>
      <c r="D392" t="s">
        <v>27</v>
      </c>
      <c r="E392" t="s">
        <v>28</v>
      </c>
      <c r="F392" s="5">
        <v>45376</v>
      </c>
      <c r="G392" s="5">
        <v>45439</v>
      </c>
      <c r="H392" t="s">
        <v>70</v>
      </c>
      <c r="I392">
        <v>2024</v>
      </c>
      <c r="J392">
        <v>63</v>
      </c>
      <c r="K392" t="s">
        <v>19</v>
      </c>
      <c r="L392" t="s">
        <v>20</v>
      </c>
      <c r="M392">
        <v>5</v>
      </c>
      <c r="N392" t="s">
        <v>19</v>
      </c>
      <c r="O392">
        <v>500</v>
      </c>
      <c r="P392" t="str" cm="1">
        <f t="array" ref="P392">_xlfn.IFS(Hospital_Patient[[#This Row],[Age]]&lt;=18,"Young",Hospital_Patient[[#This Row],[Age]]&lt;=36,"Adult",Hospital_Patient[[#This Row],[Age]]&lt;=60,"Middle Age",Hospital_Patient[[#This Row],[Age]]&gt;60,"Senior")</f>
        <v>Adult</v>
      </c>
      <c r="Q392" t="str" cm="1">
        <f t="array" ref="Q3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92">
        <f>YEAR(Hospital_Patient[[#This Row],[Discharge_Date]])</f>
        <v>2024</v>
      </c>
    </row>
    <row r="393" spans="1:18" x14ac:dyDescent="0.25">
      <c r="A393">
        <v>186</v>
      </c>
      <c r="B393">
        <v>78</v>
      </c>
      <c r="C393" t="s">
        <v>15</v>
      </c>
      <c r="D393" t="s">
        <v>45</v>
      </c>
      <c r="E393" t="s">
        <v>46</v>
      </c>
      <c r="F393" s="5">
        <v>45418</v>
      </c>
      <c r="G393" s="5">
        <v>45438</v>
      </c>
      <c r="H393" t="s">
        <v>18</v>
      </c>
      <c r="I393">
        <v>2024</v>
      </c>
      <c r="J393">
        <v>20</v>
      </c>
      <c r="K393" t="s">
        <v>21</v>
      </c>
      <c r="L393" t="s">
        <v>26</v>
      </c>
      <c r="M393">
        <v>2</v>
      </c>
      <c r="N393" t="s">
        <v>21</v>
      </c>
      <c r="O393">
        <v>18000</v>
      </c>
      <c r="P393" t="str" cm="1">
        <f t="array" ref="P393">_xlfn.IFS(Hospital_Patient[[#This Row],[Age]]&lt;=18,"Young",Hospital_Patient[[#This Row],[Age]]&lt;=36,"Adult",Hospital_Patient[[#This Row],[Age]]&lt;=60,"Middle Age",Hospital_Patient[[#This Row],[Age]]&gt;60,"Senior")</f>
        <v>Senior</v>
      </c>
      <c r="Q393" t="str" cm="1">
        <f t="array" ref="Q3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93">
        <f>YEAR(Hospital_Patient[[#This Row],[Discharge_Date]])</f>
        <v>2024</v>
      </c>
    </row>
    <row r="394" spans="1:18" hidden="1" x14ac:dyDescent="0.25">
      <c r="A394">
        <v>567</v>
      </c>
      <c r="B394">
        <v>68</v>
      </c>
      <c r="C394" t="s">
        <v>22</v>
      </c>
      <c r="D394" t="s">
        <v>36</v>
      </c>
      <c r="E394" t="s">
        <v>37</v>
      </c>
      <c r="F394" s="5">
        <v>45395</v>
      </c>
      <c r="G394" s="5">
        <v>45437</v>
      </c>
      <c r="H394" t="s">
        <v>25</v>
      </c>
      <c r="I394">
        <v>2024</v>
      </c>
      <c r="J394">
        <v>42</v>
      </c>
      <c r="K394" t="s">
        <v>19</v>
      </c>
      <c r="L394" t="s">
        <v>26</v>
      </c>
      <c r="M394">
        <v>4</v>
      </c>
      <c r="N394" t="s">
        <v>19</v>
      </c>
      <c r="O394">
        <v>1000</v>
      </c>
      <c r="P394" t="str" cm="1">
        <f t="array" ref="P394">_xlfn.IFS(Hospital_Patient[[#This Row],[Age]]&lt;=18,"Young",Hospital_Patient[[#This Row],[Age]]&lt;=36,"Adult",Hospital_Patient[[#This Row],[Age]]&lt;=60,"Middle Age",Hospital_Patient[[#This Row],[Age]]&gt;60,"Senior")</f>
        <v>Senior</v>
      </c>
      <c r="Q394" t="str" cm="1">
        <f t="array" ref="Q3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94">
        <f>YEAR(Hospital_Patient[[#This Row],[Discharge_Date]])</f>
        <v>2024</v>
      </c>
    </row>
    <row r="395" spans="1:18" hidden="1" x14ac:dyDescent="0.25">
      <c r="A395">
        <v>548</v>
      </c>
      <c r="B395">
        <v>62</v>
      </c>
      <c r="C395" t="s">
        <v>22</v>
      </c>
      <c r="D395" t="s">
        <v>23</v>
      </c>
      <c r="E395" t="s">
        <v>24</v>
      </c>
      <c r="F395" s="5">
        <v>45396</v>
      </c>
      <c r="G395" s="5">
        <v>45436</v>
      </c>
      <c r="H395" t="s">
        <v>18</v>
      </c>
      <c r="I395">
        <v>2024</v>
      </c>
      <c r="J395">
        <v>40</v>
      </c>
      <c r="K395" t="s">
        <v>19</v>
      </c>
      <c r="L395" t="s">
        <v>26</v>
      </c>
      <c r="M395">
        <v>4</v>
      </c>
      <c r="N395" t="s">
        <v>21</v>
      </c>
      <c r="O395">
        <v>2000</v>
      </c>
      <c r="P395" t="str" cm="1">
        <f t="array" ref="P395">_xlfn.IFS(Hospital_Patient[[#This Row],[Age]]&lt;=18,"Young",Hospital_Patient[[#This Row],[Age]]&lt;=36,"Adult",Hospital_Patient[[#This Row],[Age]]&lt;=60,"Middle Age",Hospital_Patient[[#This Row],[Age]]&gt;60,"Senior")</f>
        <v>Senior</v>
      </c>
      <c r="Q395" t="str" cm="1">
        <f t="array" ref="Q3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95">
        <f>YEAR(Hospital_Patient[[#This Row],[Discharge_Date]])</f>
        <v>2024</v>
      </c>
    </row>
    <row r="396" spans="1:18" hidden="1" x14ac:dyDescent="0.25">
      <c r="A396">
        <v>403</v>
      </c>
      <c r="B396">
        <v>78</v>
      </c>
      <c r="C396" t="s">
        <v>22</v>
      </c>
      <c r="D396" t="s">
        <v>30</v>
      </c>
      <c r="E396" t="s">
        <v>31</v>
      </c>
      <c r="F396" s="5">
        <v>45397</v>
      </c>
      <c r="G396" s="5">
        <v>45432</v>
      </c>
      <c r="H396" t="s">
        <v>32</v>
      </c>
      <c r="I396">
        <v>2024</v>
      </c>
      <c r="J396">
        <v>35</v>
      </c>
      <c r="K396" t="s">
        <v>19</v>
      </c>
      <c r="L396" t="s">
        <v>26</v>
      </c>
      <c r="M396">
        <v>2</v>
      </c>
      <c r="N396" t="s">
        <v>19</v>
      </c>
      <c r="O396">
        <v>10000</v>
      </c>
      <c r="P396" t="str" cm="1">
        <f t="array" ref="P396">_xlfn.IFS(Hospital_Patient[[#This Row],[Age]]&lt;=18,"Young",Hospital_Patient[[#This Row],[Age]]&lt;=36,"Adult",Hospital_Patient[[#This Row],[Age]]&lt;=60,"Middle Age",Hospital_Patient[[#This Row],[Age]]&gt;60,"Senior")</f>
        <v>Senior</v>
      </c>
      <c r="Q396" t="str" cm="1">
        <f t="array" ref="Q3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396">
        <f>YEAR(Hospital_Patient[[#This Row],[Discharge_Date]])</f>
        <v>2024</v>
      </c>
    </row>
    <row r="397" spans="1:18" x14ac:dyDescent="0.25">
      <c r="A397">
        <v>970</v>
      </c>
      <c r="B397">
        <v>52</v>
      </c>
      <c r="C397" t="s">
        <v>15</v>
      </c>
      <c r="D397" t="s">
        <v>49</v>
      </c>
      <c r="E397" t="s">
        <v>50</v>
      </c>
      <c r="F397" s="5">
        <v>45364</v>
      </c>
      <c r="G397" s="5">
        <v>45432</v>
      </c>
      <c r="H397" t="s">
        <v>66</v>
      </c>
      <c r="I397">
        <v>2024</v>
      </c>
      <c r="J397">
        <v>68</v>
      </c>
      <c r="K397" t="s">
        <v>19</v>
      </c>
      <c r="L397" t="s">
        <v>26</v>
      </c>
      <c r="M397">
        <v>4</v>
      </c>
      <c r="N397" t="s">
        <v>21</v>
      </c>
      <c r="O397">
        <v>800</v>
      </c>
      <c r="P397" t="str" cm="1">
        <f t="array" ref="P397">_xlfn.IFS(Hospital_Patient[[#This Row],[Age]]&lt;=18,"Young",Hospital_Patient[[#This Row],[Age]]&lt;=36,"Adult",Hospital_Patient[[#This Row],[Age]]&lt;=60,"Middle Age",Hospital_Patient[[#This Row],[Age]]&gt;60,"Senior")</f>
        <v>Middle Age</v>
      </c>
      <c r="Q397" t="str" cm="1">
        <f t="array" ref="Q3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397">
        <f>YEAR(Hospital_Patient[[#This Row],[Discharge_Date]])</f>
        <v>2024</v>
      </c>
    </row>
    <row r="398" spans="1:18" x14ac:dyDescent="0.25">
      <c r="A398">
        <v>311</v>
      </c>
      <c r="B398">
        <v>55</v>
      </c>
      <c r="C398" t="s">
        <v>15</v>
      </c>
      <c r="D398" t="s">
        <v>16</v>
      </c>
      <c r="E398" t="s">
        <v>17</v>
      </c>
      <c r="F398" s="5">
        <v>45403</v>
      </c>
      <c r="G398" s="5">
        <v>45429</v>
      </c>
      <c r="H398" t="s">
        <v>73</v>
      </c>
      <c r="I398">
        <v>2024</v>
      </c>
      <c r="J398">
        <v>26</v>
      </c>
      <c r="K398" t="s">
        <v>21</v>
      </c>
      <c r="L398" t="s">
        <v>20</v>
      </c>
      <c r="M398">
        <v>3</v>
      </c>
      <c r="N398" t="s">
        <v>19</v>
      </c>
      <c r="O398">
        <v>15000</v>
      </c>
      <c r="P398" t="str" cm="1">
        <f t="array" ref="P398">_xlfn.IFS(Hospital_Patient[[#This Row],[Age]]&lt;=18,"Young",Hospital_Patient[[#This Row],[Age]]&lt;=36,"Adult",Hospital_Patient[[#This Row],[Age]]&lt;=60,"Middle Age",Hospital_Patient[[#This Row],[Age]]&gt;60,"Senior")</f>
        <v>Middle Age</v>
      </c>
      <c r="Q398" t="str" cm="1">
        <f t="array" ref="Q3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398">
        <f>YEAR(Hospital_Patient[[#This Row],[Discharge_Date]])</f>
        <v>2024</v>
      </c>
    </row>
    <row r="399" spans="1:18" x14ac:dyDescent="0.25">
      <c r="A399">
        <v>56</v>
      </c>
      <c r="B399">
        <v>52</v>
      </c>
      <c r="C399" t="s">
        <v>15</v>
      </c>
      <c r="D399" t="s">
        <v>49</v>
      </c>
      <c r="E399" t="s">
        <v>50</v>
      </c>
      <c r="F399" s="5">
        <v>45421</v>
      </c>
      <c r="G399" s="5">
        <v>45426</v>
      </c>
      <c r="H399" t="s">
        <v>51</v>
      </c>
      <c r="I399">
        <v>2024</v>
      </c>
      <c r="J399">
        <v>5</v>
      </c>
      <c r="K399" t="s">
        <v>19</v>
      </c>
      <c r="L399" t="s">
        <v>26</v>
      </c>
      <c r="M399">
        <v>4</v>
      </c>
      <c r="N399" t="s">
        <v>21</v>
      </c>
      <c r="O399">
        <v>800</v>
      </c>
      <c r="P399" t="str" cm="1">
        <f t="array" ref="P399">_xlfn.IFS(Hospital_Patient[[#This Row],[Age]]&lt;=18,"Young",Hospital_Patient[[#This Row],[Age]]&lt;=36,"Adult",Hospital_Patient[[#This Row],[Age]]&lt;=60,"Middle Age",Hospital_Patient[[#This Row],[Age]]&gt;60,"Senior")</f>
        <v>Middle Age</v>
      </c>
      <c r="Q399" t="str" cm="1">
        <f t="array" ref="Q3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399">
        <f>YEAR(Hospital_Patient[[#This Row],[Discharge_Date]])</f>
        <v>2024</v>
      </c>
    </row>
    <row r="400" spans="1:18" x14ac:dyDescent="0.25">
      <c r="A400">
        <v>648</v>
      </c>
      <c r="B400">
        <v>35</v>
      </c>
      <c r="C400" t="s">
        <v>15</v>
      </c>
      <c r="D400" t="s">
        <v>54</v>
      </c>
      <c r="E400" t="s">
        <v>55</v>
      </c>
      <c r="F400" s="5">
        <v>45379</v>
      </c>
      <c r="G400" s="5">
        <v>45425</v>
      </c>
      <c r="H400" t="s">
        <v>68</v>
      </c>
      <c r="I400">
        <v>2024</v>
      </c>
      <c r="J400">
        <v>46</v>
      </c>
      <c r="K400" t="s">
        <v>19</v>
      </c>
      <c r="L400" t="s">
        <v>20</v>
      </c>
      <c r="M400">
        <v>4</v>
      </c>
      <c r="N400" t="s">
        <v>19</v>
      </c>
      <c r="O400">
        <v>12000</v>
      </c>
      <c r="P400" t="str" cm="1">
        <f t="array" ref="P400">_xlfn.IFS(Hospital_Patient[[#This Row],[Age]]&lt;=18,"Young",Hospital_Patient[[#This Row],[Age]]&lt;=36,"Adult",Hospital_Patient[[#This Row],[Age]]&lt;=60,"Middle Age",Hospital_Patient[[#This Row],[Age]]&gt;60,"Senior")</f>
        <v>Adult</v>
      </c>
      <c r="Q400" t="str" cm="1">
        <f t="array" ref="Q4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0">
        <f>YEAR(Hospital_Patient[[#This Row],[Discharge_Date]])</f>
        <v>2024</v>
      </c>
    </row>
    <row r="401" spans="1:18" x14ac:dyDescent="0.25">
      <c r="A401">
        <v>981</v>
      </c>
      <c r="B401">
        <v>45</v>
      </c>
      <c r="C401" t="s">
        <v>15</v>
      </c>
      <c r="D401" t="s">
        <v>39</v>
      </c>
      <c r="E401" t="s">
        <v>40</v>
      </c>
      <c r="F401" s="5">
        <v>45350</v>
      </c>
      <c r="G401" s="5">
        <v>45422</v>
      </c>
      <c r="H401" t="s">
        <v>72</v>
      </c>
      <c r="I401">
        <v>2024</v>
      </c>
      <c r="J401">
        <v>72</v>
      </c>
      <c r="K401" t="s">
        <v>19</v>
      </c>
      <c r="L401" t="s">
        <v>20</v>
      </c>
      <c r="M401">
        <v>3</v>
      </c>
      <c r="N401" t="s">
        <v>19</v>
      </c>
      <c r="O401">
        <v>8000</v>
      </c>
      <c r="P401" t="str" cm="1">
        <f t="array" ref="P401">_xlfn.IFS(Hospital_Patient[[#This Row],[Age]]&lt;=18,"Young",Hospital_Patient[[#This Row],[Age]]&lt;=36,"Adult",Hospital_Patient[[#This Row],[Age]]&lt;=60,"Middle Age",Hospital_Patient[[#This Row],[Age]]&gt;60,"Senior")</f>
        <v>Middle Age</v>
      </c>
      <c r="Q401" t="str" cm="1">
        <f t="array" ref="Q4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01">
        <f>YEAR(Hospital_Patient[[#This Row],[Discharge_Date]])</f>
        <v>2024</v>
      </c>
    </row>
    <row r="402" spans="1:18" x14ac:dyDescent="0.25">
      <c r="A402">
        <v>111</v>
      </c>
      <c r="B402">
        <v>60</v>
      </c>
      <c r="C402" t="s">
        <v>15</v>
      </c>
      <c r="D402" t="s">
        <v>39</v>
      </c>
      <c r="E402" t="s">
        <v>40</v>
      </c>
      <c r="F402" s="5">
        <v>45410</v>
      </c>
      <c r="G402" s="5">
        <v>45421</v>
      </c>
      <c r="H402" t="s">
        <v>18</v>
      </c>
      <c r="I402">
        <v>2024</v>
      </c>
      <c r="J402">
        <v>11</v>
      </c>
      <c r="K402" t="s">
        <v>21</v>
      </c>
      <c r="L402" t="s">
        <v>20</v>
      </c>
      <c r="M402">
        <v>3</v>
      </c>
      <c r="N402" t="s">
        <v>21</v>
      </c>
      <c r="O402">
        <v>8000</v>
      </c>
      <c r="P402" t="str" cm="1">
        <f t="array" ref="P402">_xlfn.IFS(Hospital_Patient[[#This Row],[Age]]&lt;=18,"Young",Hospital_Patient[[#This Row],[Age]]&lt;=36,"Adult",Hospital_Patient[[#This Row],[Age]]&lt;=60,"Middle Age",Hospital_Patient[[#This Row],[Age]]&gt;60,"Senior")</f>
        <v>Middle Age</v>
      </c>
      <c r="Q402" t="str" cm="1">
        <f t="array" ref="Q4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02">
        <f>YEAR(Hospital_Patient[[#This Row],[Discharge_Date]])</f>
        <v>2024</v>
      </c>
    </row>
    <row r="403" spans="1:18" hidden="1" x14ac:dyDescent="0.25">
      <c r="A403">
        <v>792</v>
      </c>
      <c r="B403">
        <v>28</v>
      </c>
      <c r="C403" t="s">
        <v>22</v>
      </c>
      <c r="D403" t="s">
        <v>47</v>
      </c>
      <c r="E403" t="s">
        <v>48</v>
      </c>
      <c r="F403" s="5">
        <v>45367</v>
      </c>
      <c r="G403" s="5">
        <v>45421</v>
      </c>
      <c r="H403" t="s">
        <v>18</v>
      </c>
      <c r="I403">
        <v>2024</v>
      </c>
      <c r="J403">
        <v>54</v>
      </c>
      <c r="K403" t="s">
        <v>19</v>
      </c>
      <c r="L403" t="s">
        <v>20</v>
      </c>
      <c r="M403">
        <v>5</v>
      </c>
      <c r="N403" t="s">
        <v>21</v>
      </c>
      <c r="O403">
        <v>100</v>
      </c>
      <c r="P403" t="str" cm="1">
        <f t="array" ref="P403">_xlfn.IFS(Hospital_Patient[[#This Row],[Age]]&lt;=18,"Young",Hospital_Patient[[#This Row],[Age]]&lt;=36,"Adult",Hospital_Patient[[#This Row],[Age]]&lt;=60,"Middle Age",Hospital_Patient[[#This Row],[Age]]&gt;60,"Senior")</f>
        <v>Adult</v>
      </c>
      <c r="Q403" t="str" cm="1">
        <f t="array" ref="Q4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3">
        <f>YEAR(Hospital_Patient[[#This Row],[Discharge_Date]])</f>
        <v>2024</v>
      </c>
    </row>
    <row r="404" spans="1:18" hidden="1" x14ac:dyDescent="0.25">
      <c r="A404">
        <v>405</v>
      </c>
      <c r="B404">
        <v>72</v>
      </c>
      <c r="C404" t="s">
        <v>22</v>
      </c>
      <c r="D404" t="s">
        <v>36</v>
      </c>
      <c r="E404" t="s">
        <v>37</v>
      </c>
      <c r="F404" s="5">
        <v>45389</v>
      </c>
      <c r="G404" s="5">
        <v>45418</v>
      </c>
      <c r="H404" t="s">
        <v>25</v>
      </c>
      <c r="I404">
        <v>2024</v>
      </c>
      <c r="J404">
        <v>29</v>
      </c>
      <c r="K404" t="s">
        <v>19</v>
      </c>
      <c r="L404" t="s">
        <v>26</v>
      </c>
      <c r="M404">
        <v>4</v>
      </c>
      <c r="N404" t="s">
        <v>19</v>
      </c>
      <c r="O404">
        <v>1000</v>
      </c>
      <c r="P404" t="str" cm="1">
        <f t="array" ref="P404">_xlfn.IFS(Hospital_Patient[[#This Row],[Age]]&lt;=18,"Young",Hospital_Patient[[#This Row],[Age]]&lt;=36,"Adult",Hospital_Patient[[#This Row],[Age]]&lt;=60,"Middle Age",Hospital_Patient[[#This Row],[Age]]&gt;60,"Senior")</f>
        <v>Senior</v>
      </c>
      <c r="Q404" t="str" cm="1">
        <f t="array" ref="Q4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04">
        <f>YEAR(Hospital_Patient[[#This Row],[Discharge_Date]])</f>
        <v>2024</v>
      </c>
    </row>
    <row r="405" spans="1:18" hidden="1" x14ac:dyDescent="0.25">
      <c r="A405">
        <v>51</v>
      </c>
      <c r="B405">
        <v>72</v>
      </c>
      <c r="C405" t="s">
        <v>22</v>
      </c>
      <c r="D405" t="s">
        <v>36</v>
      </c>
      <c r="E405" t="s">
        <v>37</v>
      </c>
      <c r="F405" s="5">
        <v>45409</v>
      </c>
      <c r="G405" s="5">
        <v>45414</v>
      </c>
      <c r="H405" t="s">
        <v>18</v>
      </c>
      <c r="I405">
        <v>2024</v>
      </c>
      <c r="J405">
        <v>5</v>
      </c>
      <c r="K405" t="s">
        <v>19</v>
      </c>
      <c r="L405" t="s">
        <v>26</v>
      </c>
      <c r="M405">
        <v>4</v>
      </c>
      <c r="N405" t="s">
        <v>21</v>
      </c>
      <c r="O405">
        <v>1000</v>
      </c>
      <c r="P405" t="str" cm="1">
        <f t="array" ref="P405">_xlfn.IFS(Hospital_Patient[[#This Row],[Age]]&lt;=18,"Young",Hospital_Patient[[#This Row],[Age]]&lt;=36,"Adult",Hospital_Patient[[#This Row],[Age]]&lt;=60,"Middle Age",Hospital_Patient[[#This Row],[Age]]&gt;60,"Senior")</f>
        <v>Senior</v>
      </c>
      <c r="Q405" t="str" cm="1">
        <f t="array" ref="Q4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05">
        <f>YEAR(Hospital_Patient[[#This Row],[Discharge_Date]])</f>
        <v>2024</v>
      </c>
    </row>
    <row r="406" spans="1:18" x14ac:dyDescent="0.25">
      <c r="A406">
        <v>441</v>
      </c>
      <c r="B406">
        <v>35</v>
      </c>
      <c r="C406" t="s">
        <v>15</v>
      </c>
      <c r="D406" t="s">
        <v>54</v>
      </c>
      <c r="E406" t="s">
        <v>55</v>
      </c>
      <c r="F406" s="5">
        <v>45382</v>
      </c>
      <c r="G406" s="5">
        <v>45414</v>
      </c>
      <c r="H406" t="s">
        <v>78</v>
      </c>
      <c r="I406">
        <v>2024</v>
      </c>
      <c r="J406">
        <v>32</v>
      </c>
      <c r="K406" t="s">
        <v>19</v>
      </c>
      <c r="L406" t="s">
        <v>20</v>
      </c>
      <c r="M406">
        <v>4</v>
      </c>
      <c r="N406" t="s">
        <v>19</v>
      </c>
      <c r="O406">
        <v>12000</v>
      </c>
      <c r="P406" t="str" cm="1">
        <f t="array" ref="P406">_xlfn.IFS(Hospital_Patient[[#This Row],[Age]]&lt;=18,"Young",Hospital_Patient[[#This Row],[Age]]&lt;=36,"Adult",Hospital_Patient[[#This Row],[Age]]&lt;=60,"Middle Age",Hospital_Patient[[#This Row],[Age]]&gt;60,"Senior")</f>
        <v>Adult</v>
      </c>
      <c r="Q406" t="str" cm="1">
        <f t="array" ref="Q4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6">
        <f>YEAR(Hospital_Patient[[#This Row],[Discharge_Date]])</f>
        <v>2024</v>
      </c>
    </row>
    <row r="407" spans="1:18" x14ac:dyDescent="0.25">
      <c r="A407">
        <v>467</v>
      </c>
      <c r="B407">
        <v>75</v>
      </c>
      <c r="C407" t="s">
        <v>15</v>
      </c>
      <c r="D407" t="s">
        <v>45</v>
      </c>
      <c r="E407" t="s">
        <v>46</v>
      </c>
      <c r="F407" s="5">
        <v>45375</v>
      </c>
      <c r="G407" s="5">
        <v>45414</v>
      </c>
      <c r="H407" t="s">
        <v>65</v>
      </c>
      <c r="I407">
        <v>2024</v>
      </c>
      <c r="J407">
        <v>39</v>
      </c>
      <c r="K407" t="s">
        <v>21</v>
      </c>
      <c r="L407" t="s">
        <v>26</v>
      </c>
      <c r="M407">
        <v>2</v>
      </c>
      <c r="N407" t="s">
        <v>21</v>
      </c>
      <c r="O407">
        <v>18000</v>
      </c>
      <c r="P407" t="str" cm="1">
        <f t="array" ref="P407">_xlfn.IFS(Hospital_Patient[[#This Row],[Age]]&lt;=18,"Young",Hospital_Patient[[#This Row],[Age]]&lt;=36,"Adult",Hospital_Patient[[#This Row],[Age]]&lt;=60,"Middle Age",Hospital_Patient[[#This Row],[Age]]&gt;60,"Senior")</f>
        <v>Senior</v>
      </c>
      <c r="Q407" t="str" cm="1">
        <f t="array" ref="Q4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7">
        <f>YEAR(Hospital_Patient[[#This Row],[Discharge_Date]])</f>
        <v>2024</v>
      </c>
    </row>
    <row r="408" spans="1:18" x14ac:dyDescent="0.25">
      <c r="A408">
        <v>574</v>
      </c>
      <c r="B408">
        <v>32</v>
      </c>
      <c r="C408" t="s">
        <v>15</v>
      </c>
      <c r="D408" t="s">
        <v>54</v>
      </c>
      <c r="E408" t="s">
        <v>55</v>
      </c>
      <c r="F408" s="5">
        <v>45371</v>
      </c>
      <c r="G408" s="5">
        <v>45412</v>
      </c>
      <c r="H408" t="s">
        <v>56</v>
      </c>
      <c r="I408">
        <v>2024</v>
      </c>
      <c r="J408">
        <v>41</v>
      </c>
      <c r="K408" t="s">
        <v>19</v>
      </c>
      <c r="L408" t="s">
        <v>20</v>
      </c>
      <c r="M408">
        <v>4</v>
      </c>
      <c r="N408" t="s">
        <v>21</v>
      </c>
      <c r="O408">
        <v>12000</v>
      </c>
      <c r="P408" t="str" cm="1">
        <f t="array" ref="P408">_xlfn.IFS(Hospital_Patient[[#This Row],[Age]]&lt;=18,"Young",Hospital_Patient[[#This Row],[Age]]&lt;=36,"Adult",Hospital_Patient[[#This Row],[Age]]&lt;=60,"Middle Age",Hospital_Patient[[#This Row],[Age]]&gt;60,"Senior")</f>
        <v>Adult</v>
      </c>
      <c r="Q408" t="str" cm="1">
        <f t="array" ref="Q4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08">
        <f>YEAR(Hospital_Patient[[#This Row],[Discharge_Date]])</f>
        <v>2024</v>
      </c>
    </row>
    <row r="409" spans="1:18" hidden="1" x14ac:dyDescent="0.25">
      <c r="A409">
        <v>23</v>
      </c>
      <c r="B409">
        <v>45</v>
      </c>
      <c r="C409" t="s">
        <v>22</v>
      </c>
      <c r="D409" t="s">
        <v>42</v>
      </c>
      <c r="E409" t="s">
        <v>43</v>
      </c>
      <c r="F409" s="5">
        <v>45402</v>
      </c>
      <c r="G409" s="5">
        <v>45409</v>
      </c>
      <c r="H409" t="s">
        <v>44</v>
      </c>
      <c r="I409">
        <v>2024</v>
      </c>
      <c r="J409">
        <v>7</v>
      </c>
      <c r="K409" t="s">
        <v>19</v>
      </c>
      <c r="L409" t="s">
        <v>20</v>
      </c>
      <c r="M409">
        <v>4</v>
      </c>
      <c r="N409" t="s">
        <v>19</v>
      </c>
      <c r="O409">
        <v>3000</v>
      </c>
      <c r="P409" t="str" cm="1">
        <f t="array" ref="P409">_xlfn.IFS(Hospital_Patient[[#This Row],[Age]]&lt;=18,"Young",Hospital_Patient[[#This Row],[Age]]&lt;=36,"Adult",Hospital_Patient[[#This Row],[Age]]&lt;=60,"Middle Age",Hospital_Patient[[#This Row],[Age]]&gt;60,"Senior")</f>
        <v>Middle Age</v>
      </c>
      <c r="Q409" t="str" cm="1">
        <f t="array" ref="Q4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09">
        <f>YEAR(Hospital_Patient[[#This Row],[Discharge_Date]])</f>
        <v>2024</v>
      </c>
    </row>
    <row r="410" spans="1:18" hidden="1" x14ac:dyDescent="0.25">
      <c r="A410">
        <v>67</v>
      </c>
      <c r="B410">
        <v>40</v>
      </c>
      <c r="C410" t="s">
        <v>22</v>
      </c>
      <c r="D410" t="s">
        <v>42</v>
      </c>
      <c r="E410" t="s">
        <v>43</v>
      </c>
      <c r="F410" s="5">
        <v>45399</v>
      </c>
      <c r="G410" s="5">
        <v>45409</v>
      </c>
      <c r="H410" t="s">
        <v>71</v>
      </c>
      <c r="I410">
        <v>2024</v>
      </c>
      <c r="J410">
        <v>10</v>
      </c>
      <c r="K410" t="s">
        <v>19</v>
      </c>
      <c r="L410" t="s">
        <v>20</v>
      </c>
      <c r="M410">
        <v>4</v>
      </c>
      <c r="N410" t="s">
        <v>19</v>
      </c>
      <c r="O410">
        <v>3000</v>
      </c>
      <c r="P410" t="str" cm="1">
        <f t="array" ref="P410">_xlfn.IFS(Hospital_Patient[[#This Row],[Age]]&lt;=18,"Young",Hospital_Patient[[#This Row],[Age]]&lt;=36,"Adult",Hospital_Patient[[#This Row],[Age]]&lt;=60,"Middle Age",Hospital_Patient[[#This Row],[Age]]&gt;60,"Senior")</f>
        <v>Middle Age</v>
      </c>
      <c r="Q410" t="str" cm="1">
        <f t="array" ref="Q4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10">
        <f>YEAR(Hospital_Patient[[#This Row],[Discharge_Date]])</f>
        <v>2024</v>
      </c>
    </row>
    <row r="411" spans="1:18" hidden="1" x14ac:dyDescent="0.25">
      <c r="A411">
        <v>897</v>
      </c>
      <c r="B411">
        <v>58</v>
      </c>
      <c r="C411" t="s">
        <v>22</v>
      </c>
      <c r="D411" t="s">
        <v>52</v>
      </c>
      <c r="E411" t="s">
        <v>53</v>
      </c>
      <c r="F411" s="5">
        <v>45338</v>
      </c>
      <c r="G411" s="5">
        <v>45407</v>
      </c>
      <c r="H411" t="s">
        <v>51</v>
      </c>
      <c r="I411">
        <v>2024</v>
      </c>
      <c r="J411">
        <v>69</v>
      </c>
      <c r="K411" t="s">
        <v>19</v>
      </c>
      <c r="L411" t="s">
        <v>20</v>
      </c>
      <c r="M411">
        <v>3</v>
      </c>
      <c r="N411" t="s">
        <v>19</v>
      </c>
      <c r="O411">
        <v>20000</v>
      </c>
      <c r="P411" t="str" cm="1">
        <f t="array" ref="P411">_xlfn.IFS(Hospital_Patient[[#This Row],[Age]]&lt;=18,"Young",Hospital_Patient[[#This Row],[Age]]&lt;=36,"Adult",Hospital_Patient[[#This Row],[Age]]&lt;=60,"Middle Age",Hospital_Patient[[#This Row],[Age]]&gt;60,"Senior")</f>
        <v>Middle Age</v>
      </c>
      <c r="Q411" t="str" cm="1">
        <f t="array" ref="Q4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11">
        <f>YEAR(Hospital_Patient[[#This Row],[Discharge_Date]])</f>
        <v>2024</v>
      </c>
    </row>
    <row r="412" spans="1:18" x14ac:dyDescent="0.25">
      <c r="A412">
        <v>559</v>
      </c>
      <c r="B412">
        <v>35</v>
      </c>
      <c r="C412" t="s">
        <v>15</v>
      </c>
      <c r="D412" t="s">
        <v>54</v>
      </c>
      <c r="E412" t="s">
        <v>55</v>
      </c>
      <c r="F412" s="5">
        <v>45366</v>
      </c>
      <c r="G412" s="5">
        <v>45406</v>
      </c>
      <c r="H412" t="s">
        <v>74</v>
      </c>
      <c r="I412">
        <v>2024</v>
      </c>
      <c r="J412">
        <v>40</v>
      </c>
      <c r="K412" t="s">
        <v>19</v>
      </c>
      <c r="L412" t="s">
        <v>20</v>
      </c>
      <c r="M412">
        <v>4</v>
      </c>
      <c r="N412" t="s">
        <v>21</v>
      </c>
      <c r="O412">
        <v>12000</v>
      </c>
      <c r="P412" t="str" cm="1">
        <f t="array" ref="P412">_xlfn.IFS(Hospital_Patient[[#This Row],[Age]]&lt;=18,"Young",Hospital_Patient[[#This Row],[Age]]&lt;=36,"Adult",Hospital_Patient[[#This Row],[Age]]&lt;=60,"Middle Age",Hospital_Patient[[#This Row],[Age]]&gt;60,"Senior")</f>
        <v>Adult</v>
      </c>
      <c r="Q412" t="str" cm="1">
        <f t="array" ref="Q4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2">
        <f>YEAR(Hospital_Patient[[#This Row],[Discharge_Date]])</f>
        <v>2024</v>
      </c>
    </row>
    <row r="413" spans="1:18" hidden="1" x14ac:dyDescent="0.25">
      <c r="A413">
        <v>460</v>
      </c>
      <c r="B413">
        <v>62</v>
      </c>
      <c r="C413" t="s">
        <v>22</v>
      </c>
      <c r="D413" t="s">
        <v>23</v>
      </c>
      <c r="E413" t="s">
        <v>24</v>
      </c>
      <c r="F413" s="5">
        <v>45371</v>
      </c>
      <c r="G413" s="5">
        <v>45405</v>
      </c>
      <c r="H413" t="s">
        <v>25</v>
      </c>
      <c r="I413">
        <v>2024</v>
      </c>
      <c r="J413">
        <v>34</v>
      </c>
      <c r="K413" t="s">
        <v>19</v>
      </c>
      <c r="L413" t="s">
        <v>26</v>
      </c>
      <c r="M413">
        <v>4</v>
      </c>
      <c r="N413" t="s">
        <v>19</v>
      </c>
      <c r="O413">
        <v>2000</v>
      </c>
      <c r="P413" t="str" cm="1">
        <f t="array" ref="P413">_xlfn.IFS(Hospital_Patient[[#This Row],[Age]]&lt;=18,"Young",Hospital_Patient[[#This Row],[Age]]&lt;=36,"Adult",Hospital_Patient[[#This Row],[Age]]&lt;=60,"Middle Age",Hospital_Patient[[#This Row],[Age]]&gt;60,"Senior")</f>
        <v>Senior</v>
      </c>
      <c r="Q413" t="str" cm="1">
        <f t="array" ref="Q4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3">
        <f>YEAR(Hospital_Patient[[#This Row],[Discharge_Date]])</f>
        <v>2024</v>
      </c>
    </row>
    <row r="414" spans="1:18" hidden="1" x14ac:dyDescent="0.25">
      <c r="A414">
        <v>668</v>
      </c>
      <c r="B414">
        <v>78</v>
      </c>
      <c r="C414" t="s">
        <v>22</v>
      </c>
      <c r="D414" t="s">
        <v>30</v>
      </c>
      <c r="E414" t="s">
        <v>31</v>
      </c>
      <c r="F414" s="5">
        <v>45352</v>
      </c>
      <c r="G414" s="5">
        <v>45405</v>
      </c>
      <c r="H414" t="s">
        <v>63</v>
      </c>
      <c r="I414">
        <v>2024</v>
      </c>
      <c r="J414">
        <v>53</v>
      </c>
      <c r="K414" t="s">
        <v>19</v>
      </c>
      <c r="L414" t="s">
        <v>26</v>
      </c>
      <c r="M414">
        <v>2</v>
      </c>
      <c r="N414" t="s">
        <v>21</v>
      </c>
      <c r="O414">
        <v>10000</v>
      </c>
      <c r="P414" t="str" cm="1">
        <f t="array" ref="P414">_xlfn.IFS(Hospital_Patient[[#This Row],[Age]]&lt;=18,"Young",Hospital_Patient[[#This Row],[Age]]&lt;=36,"Adult",Hospital_Patient[[#This Row],[Age]]&lt;=60,"Middle Age",Hospital_Patient[[#This Row],[Age]]&gt;60,"Senior")</f>
        <v>Senior</v>
      </c>
      <c r="Q414" t="str" cm="1">
        <f t="array" ref="Q4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4">
        <f>YEAR(Hospital_Patient[[#This Row],[Discharge_Date]])</f>
        <v>2024</v>
      </c>
    </row>
    <row r="415" spans="1:18" x14ac:dyDescent="0.25">
      <c r="A415">
        <v>70</v>
      </c>
      <c r="B415">
        <v>52</v>
      </c>
      <c r="C415" t="s">
        <v>15</v>
      </c>
      <c r="D415" t="s">
        <v>49</v>
      </c>
      <c r="E415" t="s">
        <v>50</v>
      </c>
      <c r="F415" s="5">
        <v>45397</v>
      </c>
      <c r="G415" s="5">
        <v>45403</v>
      </c>
      <c r="H415" t="s">
        <v>51</v>
      </c>
      <c r="I415">
        <v>2024</v>
      </c>
      <c r="J415">
        <v>6</v>
      </c>
      <c r="K415" t="s">
        <v>19</v>
      </c>
      <c r="L415" t="s">
        <v>26</v>
      </c>
      <c r="M415">
        <v>4</v>
      </c>
      <c r="N415" t="s">
        <v>19</v>
      </c>
      <c r="O415">
        <v>800</v>
      </c>
      <c r="P415" t="str" cm="1">
        <f t="array" ref="P415">_xlfn.IFS(Hospital_Patient[[#This Row],[Age]]&lt;=18,"Young",Hospital_Patient[[#This Row],[Age]]&lt;=36,"Adult",Hospital_Patient[[#This Row],[Age]]&lt;=60,"Middle Age",Hospital_Patient[[#This Row],[Age]]&gt;60,"Senior")</f>
        <v>Middle Age</v>
      </c>
      <c r="Q415" t="str" cm="1">
        <f t="array" ref="Q4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15">
        <f>YEAR(Hospital_Patient[[#This Row],[Discharge_Date]])</f>
        <v>2024</v>
      </c>
    </row>
    <row r="416" spans="1:18" hidden="1" x14ac:dyDescent="0.25">
      <c r="A416">
        <v>436</v>
      </c>
      <c r="B416">
        <v>45</v>
      </c>
      <c r="C416" t="s">
        <v>22</v>
      </c>
      <c r="D416" t="s">
        <v>42</v>
      </c>
      <c r="E416" t="s">
        <v>43</v>
      </c>
      <c r="F416" s="5">
        <v>45368</v>
      </c>
      <c r="G416" s="5">
        <v>45403</v>
      </c>
      <c r="H416" t="s">
        <v>70</v>
      </c>
      <c r="I416">
        <v>2024</v>
      </c>
      <c r="J416">
        <v>35</v>
      </c>
      <c r="K416" t="s">
        <v>19</v>
      </c>
      <c r="L416" t="s">
        <v>20</v>
      </c>
      <c r="M416">
        <v>4</v>
      </c>
      <c r="N416" t="s">
        <v>19</v>
      </c>
      <c r="O416">
        <v>3000</v>
      </c>
      <c r="P416" t="str" cm="1">
        <f t="array" ref="P416">_xlfn.IFS(Hospital_Patient[[#This Row],[Age]]&lt;=18,"Young",Hospital_Patient[[#This Row],[Age]]&lt;=36,"Adult",Hospital_Patient[[#This Row],[Age]]&lt;=60,"Middle Age",Hospital_Patient[[#This Row],[Age]]&gt;60,"Senior")</f>
        <v>Middle Age</v>
      </c>
      <c r="Q416" t="str" cm="1">
        <f t="array" ref="Q4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6">
        <f>YEAR(Hospital_Patient[[#This Row],[Discharge_Date]])</f>
        <v>2024</v>
      </c>
    </row>
    <row r="417" spans="1:18" hidden="1" x14ac:dyDescent="0.25">
      <c r="A417">
        <v>676</v>
      </c>
      <c r="B417">
        <v>67</v>
      </c>
      <c r="C417" t="s">
        <v>22</v>
      </c>
      <c r="D417" t="s">
        <v>52</v>
      </c>
      <c r="E417" t="s">
        <v>53</v>
      </c>
      <c r="F417" s="5">
        <v>45349</v>
      </c>
      <c r="G417" s="5">
        <v>45403</v>
      </c>
      <c r="H417" t="s">
        <v>18</v>
      </c>
      <c r="I417">
        <v>2024</v>
      </c>
      <c r="J417">
        <v>54</v>
      </c>
      <c r="K417" t="s">
        <v>19</v>
      </c>
      <c r="L417" t="s">
        <v>20</v>
      </c>
      <c r="M417">
        <v>3</v>
      </c>
      <c r="N417" t="s">
        <v>19</v>
      </c>
      <c r="O417">
        <v>20000</v>
      </c>
      <c r="P417" t="str" cm="1">
        <f t="array" ref="P417">_xlfn.IFS(Hospital_Patient[[#This Row],[Age]]&lt;=18,"Young",Hospital_Patient[[#This Row],[Age]]&lt;=36,"Adult",Hospital_Patient[[#This Row],[Age]]&lt;=60,"Middle Age",Hospital_Patient[[#This Row],[Age]]&gt;60,"Senior")</f>
        <v>Senior</v>
      </c>
      <c r="Q417" t="str" cm="1">
        <f t="array" ref="Q4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17">
        <f>YEAR(Hospital_Patient[[#This Row],[Discharge_Date]])</f>
        <v>2024</v>
      </c>
    </row>
    <row r="418" spans="1:18" hidden="1" x14ac:dyDescent="0.25">
      <c r="A418">
        <v>350</v>
      </c>
      <c r="B418">
        <v>28</v>
      </c>
      <c r="C418" t="s">
        <v>22</v>
      </c>
      <c r="D418" t="s">
        <v>47</v>
      </c>
      <c r="E418" t="s">
        <v>48</v>
      </c>
      <c r="F418" s="5">
        <v>45378</v>
      </c>
      <c r="G418" s="5">
        <v>45402</v>
      </c>
      <c r="H418" t="s">
        <v>18</v>
      </c>
      <c r="I418">
        <v>2024</v>
      </c>
      <c r="J418">
        <v>24</v>
      </c>
      <c r="K418" t="s">
        <v>19</v>
      </c>
      <c r="L418" t="s">
        <v>20</v>
      </c>
      <c r="M418">
        <v>5</v>
      </c>
      <c r="N418" t="s">
        <v>19</v>
      </c>
      <c r="O418">
        <v>100</v>
      </c>
      <c r="P418" t="str" cm="1">
        <f t="array" ref="P418">_xlfn.IFS(Hospital_Patient[[#This Row],[Age]]&lt;=18,"Young",Hospital_Patient[[#This Row],[Age]]&lt;=36,"Adult",Hospital_Patient[[#This Row],[Age]]&lt;=60,"Middle Age",Hospital_Patient[[#This Row],[Age]]&gt;60,"Senior")</f>
        <v>Adult</v>
      </c>
      <c r="Q418" t="str" cm="1">
        <f t="array" ref="Q4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18">
        <f>YEAR(Hospital_Patient[[#This Row],[Discharge_Date]])</f>
        <v>2024</v>
      </c>
    </row>
    <row r="419" spans="1:18" x14ac:dyDescent="0.25">
      <c r="A419">
        <v>966</v>
      </c>
      <c r="B419">
        <v>60</v>
      </c>
      <c r="C419" t="s">
        <v>15</v>
      </c>
      <c r="D419" t="s">
        <v>39</v>
      </c>
      <c r="E419" t="s">
        <v>40</v>
      </c>
      <c r="F419" s="5">
        <v>45331</v>
      </c>
      <c r="G419" s="5">
        <v>45402</v>
      </c>
      <c r="H419" t="s">
        <v>41</v>
      </c>
      <c r="I419">
        <v>2024</v>
      </c>
      <c r="J419">
        <v>71</v>
      </c>
      <c r="K419" t="s">
        <v>21</v>
      </c>
      <c r="L419" t="s">
        <v>20</v>
      </c>
      <c r="M419">
        <v>3</v>
      </c>
      <c r="N419" t="s">
        <v>19</v>
      </c>
      <c r="O419">
        <v>8000</v>
      </c>
      <c r="P419" t="str" cm="1">
        <f t="array" ref="P419">_xlfn.IFS(Hospital_Patient[[#This Row],[Age]]&lt;=18,"Young",Hospital_Patient[[#This Row],[Age]]&lt;=36,"Adult",Hospital_Patient[[#This Row],[Age]]&lt;=60,"Middle Age",Hospital_Patient[[#This Row],[Age]]&gt;60,"Senior")</f>
        <v>Middle Age</v>
      </c>
      <c r="Q419" t="str" cm="1">
        <f t="array" ref="Q4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19">
        <f>YEAR(Hospital_Patient[[#This Row],[Discharge_Date]])</f>
        <v>2024</v>
      </c>
    </row>
    <row r="420" spans="1:18" x14ac:dyDescent="0.25">
      <c r="A420">
        <v>627</v>
      </c>
      <c r="B420">
        <v>45</v>
      </c>
      <c r="C420" t="s">
        <v>15</v>
      </c>
      <c r="D420" t="s">
        <v>39</v>
      </c>
      <c r="E420" t="s">
        <v>40</v>
      </c>
      <c r="F420" s="5">
        <v>45352</v>
      </c>
      <c r="G420" s="5">
        <v>45400</v>
      </c>
      <c r="H420" t="s">
        <v>41</v>
      </c>
      <c r="I420">
        <v>2024</v>
      </c>
      <c r="J420">
        <v>48</v>
      </c>
      <c r="K420" t="s">
        <v>19</v>
      </c>
      <c r="L420" t="s">
        <v>20</v>
      </c>
      <c r="M420">
        <v>3</v>
      </c>
      <c r="N420" t="s">
        <v>19</v>
      </c>
      <c r="O420">
        <v>8000</v>
      </c>
      <c r="P420" t="str" cm="1">
        <f t="array" ref="P420">_xlfn.IFS(Hospital_Patient[[#This Row],[Age]]&lt;=18,"Young",Hospital_Patient[[#This Row],[Age]]&lt;=36,"Adult",Hospital_Patient[[#This Row],[Age]]&lt;=60,"Middle Age",Hospital_Patient[[#This Row],[Age]]&gt;60,"Senior")</f>
        <v>Middle Age</v>
      </c>
      <c r="Q420" t="str" cm="1">
        <f t="array" ref="Q4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20">
        <f>YEAR(Hospital_Patient[[#This Row],[Discharge_Date]])</f>
        <v>2024</v>
      </c>
    </row>
    <row r="421" spans="1:18" hidden="1" x14ac:dyDescent="0.25">
      <c r="A421">
        <v>274</v>
      </c>
      <c r="B421">
        <v>40</v>
      </c>
      <c r="C421" t="s">
        <v>22</v>
      </c>
      <c r="D421" t="s">
        <v>42</v>
      </c>
      <c r="E421" t="s">
        <v>43</v>
      </c>
      <c r="F421" s="5">
        <v>45375</v>
      </c>
      <c r="G421" s="5">
        <v>45399</v>
      </c>
      <c r="H421" t="s">
        <v>70</v>
      </c>
      <c r="I421">
        <v>2024</v>
      </c>
      <c r="J421">
        <v>24</v>
      </c>
      <c r="K421" t="s">
        <v>19</v>
      </c>
      <c r="L421" t="s">
        <v>20</v>
      </c>
      <c r="M421">
        <v>4</v>
      </c>
      <c r="N421" t="s">
        <v>21</v>
      </c>
      <c r="O421">
        <v>3000</v>
      </c>
      <c r="P421" t="str" cm="1">
        <f t="array" ref="P421">_xlfn.IFS(Hospital_Patient[[#This Row],[Age]]&lt;=18,"Young",Hospital_Patient[[#This Row],[Age]]&lt;=36,"Adult",Hospital_Patient[[#This Row],[Age]]&lt;=60,"Middle Age",Hospital_Patient[[#This Row],[Age]]&gt;60,"Senior")</f>
        <v>Middle Age</v>
      </c>
      <c r="Q421" t="str" cm="1">
        <f t="array" ref="Q4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21">
        <f>YEAR(Hospital_Patient[[#This Row],[Discharge_Date]])</f>
        <v>2024</v>
      </c>
    </row>
    <row r="422" spans="1:18" x14ac:dyDescent="0.25">
      <c r="A422">
        <v>254</v>
      </c>
      <c r="B422">
        <v>35</v>
      </c>
      <c r="C422" t="s">
        <v>15</v>
      </c>
      <c r="D422" t="s">
        <v>27</v>
      </c>
      <c r="E422" t="s">
        <v>28</v>
      </c>
      <c r="F422" s="5">
        <v>45379</v>
      </c>
      <c r="G422" s="5">
        <v>45397</v>
      </c>
      <c r="H422" t="s">
        <v>29</v>
      </c>
      <c r="I422">
        <v>2024</v>
      </c>
      <c r="J422">
        <v>18</v>
      </c>
      <c r="K422" t="s">
        <v>21</v>
      </c>
      <c r="L422" t="s">
        <v>20</v>
      </c>
      <c r="M422">
        <v>5</v>
      </c>
      <c r="N422" t="s">
        <v>19</v>
      </c>
      <c r="O422">
        <v>500</v>
      </c>
      <c r="P422" t="str" cm="1">
        <f t="array" ref="P422">_xlfn.IFS(Hospital_Patient[[#This Row],[Age]]&lt;=18,"Young",Hospital_Patient[[#This Row],[Age]]&lt;=36,"Adult",Hospital_Patient[[#This Row],[Age]]&lt;=60,"Middle Age",Hospital_Patient[[#This Row],[Age]]&gt;60,"Senior")</f>
        <v>Adult</v>
      </c>
      <c r="Q422" t="str" cm="1">
        <f t="array" ref="Q4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22">
        <f>YEAR(Hospital_Patient[[#This Row],[Discharge_Date]])</f>
        <v>2024</v>
      </c>
    </row>
    <row r="423" spans="1:18" hidden="1" x14ac:dyDescent="0.25">
      <c r="A423">
        <v>106</v>
      </c>
      <c r="B423">
        <v>62</v>
      </c>
      <c r="C423" t="s">
        <v>22</v>
      </c>
      <c r="D423" t="s">
        <v>23</v>
      </c>
      <c r="E423" t="s">
        <v>24</v>
      </c>
      <c r="F423" s="5">
        <v>45384</v>
      </c>
      <c r="G423" s="5">
        <v>45394</v>
      </c>
      <c r="H423" t="s">
        <v>18</v>
      </c>
      <c r="I423">
        <v>2024</v>
      </c>
      <c r="J423">
        <v>10</v>
      </c>
      <c r="K423" t="s">
        <v>19</v>
      </c>
      <c r="L423" t="s">
        <v>26</v>
      </c>
      <c r="M423">
        <v>4</v>
      </c>
      <c r="N423" t="s">
        <v>19</v>
      </c>
      <c r="O423">
        <v>2000</v>
      </c>
      <c r="P423" t="str" cm="1">
        <f t="array" ref="P423">_xlfn.IFS(Hospital_Patient[[#This Row],[Age]]&lt;=18,"Young",Hospital_Patient[[#This Row],[Age]]&lt;=36,"Adult",Hospital_Patient[[#This Row],[Age]]&lt;=60,"Middle Age",Hospital_Patient[[#This Row],[Age]]&gt;60,"Senior")</f>
        <v>Senior</v>
      </c>
      <c r="Q423" t="str" cm="1">
        <f t="array" ref="Q4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23">
        <f>YEAR(Hospital_Patient[[#This Row],[Discharge_Date]])</f>
        <v>2024</v>
      </c>
    </row>
    <row r="424" spans="1:18" x14ac:dyDescent="0.25">
      <c r="A424">
        <v>193</v>
      </c>
      <c r="B424">
        <v>55</v>
      </c>
      <c r="C424" t="s">
        <v>15</v>
      </c>
      <c r="D424" t="s">
        <v>16</v>
      </c>
      <c r="E424" t="s">
        <v>17</v>
      </c>
      <c r="F424" s="5">
        <v>45375</v>
      </c>
      <c r="G424" s="5">
        <v>45393</v>
      </c>
      <c r="H424" t="s">
        <v>73</v>
      </c>
      <c r="I424">
        <v>2024</v>
      </c>
      <c r="J424">
        <v>18</v>
      </c>
      <c r="K424" t="s">
        <v>21</v>
      </c>
      <c r="L424" t="s">
        <v>20</v>
      </c>
      <c r="M424">
        <v>3</v>
      </c>
      <c r="N424" t="s">
        <v>21</v>
      </c>
      <c r="O424">
        <v>15000</v>
      </c>
      <c r="P424" t="str" cm="1">
        <f t="array" ref="P424">_xlfn.IFS(Hospital_Patient[[#This Row],[Age]]&lt;=18,"Young",Hospital_Patient[[#This Row],[Age]]&lt;=36,"Adult",Hospital_Patient[[#This Row],[Age]]&lt;=60,"Middle Age",Hospital_Patient[[#This Row],[Age]]&gt;60,"Senior")</f>
        <v>Middle Age</v>
      </c>
      <c r="Q424" t="str" cm="1">
        <f t="array" ref="Q4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24">
        <f>YEAR(Hospital_Patient[[#This Row],[Discharge_Date]])</f>
        <v>2024</v>
      </c>
    </row>
    <row r="425" spans="1:18" hidden="1" x14ac:dyDescent="0.25">
      <c r="A425">
        <v>781</v>
      </c>
      <c r="B425">
        <v>55</v>
      </c>
      <c r="C425" t="s">
        <v>22</v>
      </c>
      <c r="D425" t="s">
        <v>57</v>
      </c>
      <c r="E425" t="s">
        <v>58</v>
      </c>
      <c r="F425" s="5">
        <v>45335</v>
      </c>
      <c r="G425" s="5">
        <v>45391</v>
      </c>
      <c r="H425" t="s">
        <v>77</v>
      </c>
      <c r="I425">
        <v>2024</v>
      </c>
      <c r="J425">
        <v>56</v>
      </c>
      <c r="K425" t="s">
        <v>19</v>
      </c>
      <c r="L425" t="s">
        <v>20</v>
      </c>
      <c r="M425">
        <v>3</v>
      </c>
      <c r="N425" t="s">
        <v>21</v>
      </c>
      <c r="O425">
        <v>6000</v>
      </c>
      <c r="P425" t="str" cm="1">
        <f t="array" ref="P425">_xlfn.IFS(Hospital_Patient[[#This Row],[Age]]&lt;=18,"Young",Hospital_Patient[[#This Row],[Age]]&lt;=36,"Adult",Hospital_Patient[[#This Row],[Age]]&lt;=60,"Middle Age",Hospital_Patient[[#This Row],[Age]]&gt;60,"Senior")</f>
        <v>Middle Age</v>
      </c>
      <c r="Q425" t="str" cm="1">
        <f t="array" ref="Q4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25">
        <f>YEAR(Hospital_Patient[[#This Row],[Discharge_Date]])</f>
        <v>2024</v>
      </c>
    </row>
    <row r="426" spans="1:18" x14ac:dyDescent="0.25">
      <c r="A426">
        <v>850</v>
      </c>
      <c r="B426">
        <v>75</v>
      </c>
      <c r="C426" t="s">
        <v>15</v>
      </c>
      <c r="D426" t="s">
        <v>45</v>
      </c>
      <c r="E426" t="s">
        <v>46</v>
      </c>
      <c r="F426" s="5">
        <v>45325</v>
      </c>
      <c r="G426" s="5">
        <v>45390</v>
      </c>
      <c r="H426" t="s">
        <v>18</v>
      </c>
      <c r="I426">
        <v>2024</v>
      </c>
      <c r="J426">
        <v>65</v>
      </c>
      <c r="K426" t="s">
        <v>21</v>
      </c>
      <c r="L426" t="s">
        <v>26</v>
      </c>
      <c r="M426">
        <v>2</v>
      </c>
      <c r="N426" t="s">
        <v>19</v>
      </c>
      <c r="O426">
        <v>18000</v>
      </c>
      <c r="P426" t="str" cm="1">
        <f t="array" ref="P426">_xlfn.IFS(Hospital_Patient[[#This Row],[Age]]&lt;=18,"Young",Hospital_Patient[[#This Row],[Age]]&lt;=36,"Adult",Hospital_Patient[[#This Row],[Age]]&lt;=60,"Middle Age",Hospital_Patient[[#This Row],[Age]]&gt;60,"Senior")</f>
        <v>Senior</v>
      </c>
      <c r="Q426" t="str" cm="1">
        <f t="array" ref="Q4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26">
        <f>YEAR(Hospital_Patient[[#This Row],[Discharge_Date]])</f>
        <v>2024</v>
      </c>
    </row>
    <row r="427" spans="1:18" x14ac:dyDescent="0.25">
      <c r="A427">
        <v>192</v>
      </c>
      <c r="B427">
        <v>65</v>
      </c>
      <c r="C427" t="s">
        <v>15</v>
      </c>
      <c r="D427" t="s">
        <v>59</v>
      </c>
      <c r="E427" t="s">
        <v>60</v>
      </c>
      <c r="F427" s="5">
        <v>45371</v>
      </c>
      <c r="G427" s="5">
        <v>45388</v>
      </c>
      <c r="H427" t="s">
        <v>61</v>
      </c>
      <c r="I427">
        <v>2024</v>
      </c>
      <c r="J427">
        <v>17</v>
      </c>
      <c r="K427" t="s">
        <v>19</v>
      </c>
      <c r="L427" t="s">
        <v>26</v>
      </c>
      <c r="M427">
        <v>4</v>
      </c>
      <c r="N427" t="s">
        <v>19</v>
      </c>
      <c r="O427">
        <v>4000</v>
      </c>
      <c r="P427" t="str" cm="1">
        <f t="array" ref="P427">_xlfn.IFS(Hospital_Patient[[#This Row],[Age]]&lt;=18,"Young",Hospital_Patient[[#This Row],[Age]]&lt;=36,"Adult",Hospital_Patient[[#This Row],[Age]]&lt;=60,"Middle Age",Hospital_Patient[[#This Row],[Age]]&gt;60,"Senior")</f>
        <v>Senior</v>
      </c>
      <c r="Q427" t="str" cm="1">
        <f t="array" ref="Q4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27">
        <f>YEAR(Hospital_Patient[[#This Row],[Discharge_Date]])</f>
        <v>2024</v>
      </c>
    </row>
    <row r="428" spans="1:18" x14ac:dyDescent="0.25">
      <c r="A428">
        <v>157</v>
      </c>
      <c r="B428">
        <v>78</v>
      </c>
      <c r="C428" t="s">
        <v>15</v>
      </c>
      <c r="D428" t="s">
        <v>45</v>
      </c>
      <c r="E428" t="s">
        <v>46</v>
      </c>
      <c r="F428" s="5">
        <v>45370</v>
      </c>
      <c r="G428" s="5">
        <v>45388</v>
      </c>
      <c r="H428" t="s">
        <v>65</v>
      </c>
      <c r="I428">
        <v>2024</v>
      </c>
      <c r="J428">
        <v>18</v>
      </c>
      <c r="K428" t="s">
        <v>21</v>
      </c>
      <c r="L428" t="s">
        <v>26</v>
      </c>
      <c r="M428">
        <v>2</v>
      </c>
      <c r="N428" t="s">
        <v>19</v>
      </c>
      <c r="O428">
        <v>18000</v>
      </c>
      <c r="P428" t="str" cm="1">
        <f t="array" ref="P428">_xlfn.IFS(Hospital_Patient[[#This Row],[Age]]&lt;=18,"Young",Hospital_Patient[[#This Row],[Age]]&lt;=36,"Adult",Hospital_Patient[[#This Row],[Age]]&lt;=60,"Middle Age",Hospital_Patient[[#This Row],[Age]]&gt;60,"Senior")</f>
        <v>Senior</v>
      </c>
      <c r="Q428" t="str" cm="1">
        <f t="array" ref="Q4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28">
        <f>YEAR(Hospital_Patient[[#This Row],[Discharge_Date]])</f>
        <v>2024</v>
      </c>
    </row>
    <row r="429" spans="1:18" hidden="1" x14ac:dyDescent="0.25">
      <c r="A429">
        <v>474</v>
      </c>
      <c r="B429">
        <v>65</v>
      </c>
      <c r="C429" t="s">
        <v>22</v>
      </c>
      <c r="D429" t="s">
        <v>23</v>
      </c>
      <c r="E429" t="s">
        <v>24</v>
      </c>
      <c r="F429" s="5">
        <v>45353</v>
      </c>
      <c r="G429" s="5">
        <v>45388</v>
      </c>
      <c r="H429" t="s">
        <v>18</v>
      </c>
      <c r="I429">
        <v>2024</v>
      </c>
      <c r="J429">
        <v>35</v>
      </c>
      <c r="K429" t="s">
        <v>19</v>
      </c>
      <c r="L429" t="s">
        <v>26</v>
      </c>
      <c r="M429">
        <v>3</v>
      </c>
      <c r="N429" t="s">
        <v>21</v>
      </c>
      <c r="O429">
        <v>2000</v>
      </c>
      <c r="P429" t="str" cm="1">
        <f t="array" ref="P429">_xlfn.IFS(Hospital_Patient[[#This Row],[Age]]&lt;=18,"Young",Hospital_Patient[[#This Row],[Age]]&lt;=36,"Adult",Hospital_Patient[[#This Row],[Age]]&lt;=60,"Middle Age",Hospital_Patient[[#This Row],[Age]]&gt;60,"Senior")</f>
        <v>Senior</v>
      </c>
      <c r="Q429" t="str" cm="1">
        <f t="array" ref="Q4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29">
        <f>YEAR(Hospital_Patient[[#This Row],[Discharge_Date]])</f>
        <v>2024</v>
      </c>
    </row>
    <row r="430" spans="1:18" hidden="1" x14ac:dyDescent="0.25">
      <c r="A430">
        <v>366</v>
      </c>
      <c r="B430">
        <v>58</v>
      </c>
      <c r="C430" t="s">
        <v>22</v>
      </c>
      <c r="D430" t="s">
        <v>52</v>
      </c>
      <c r="E430" t="s">
        <v>53</v>
      </c>
      <c r="F430" s="5">
        <v>45351</v>
      </c>
      <c r="G430" s="5">
        <v>45384</v>
      </c>
      <c r="H430" t="s">
        <v>18</v>
      </c>
      <c r="I430">
        <v>2024</v>
      </c>
      <c r="J430">
        <v>33</v>
      </c>
      <c r="K430" t="s">
        <v>19</v>
      </c>
      <c r="L430" t="s">
        <v>20</v>
      </c>
      <c r="M430">
        <v>3</v>
      </c>
      <c r="N430" t="s">
        <v>19</v>
      </c>
      <c r="O430">
        <v>20000</v>
      </c>
      <c r="P430" t="str" cm="1">
        <f t="array" ref="P430">_xlfn.IFS(Hospital_Patient[[#This Row],[Age]]&lt;=18,"Young",Hospital_Patient[[#This Row],[Age]]&lt;=36,"Adult",Hospital_Patient[[#This Row],[Age]]&lt;=60,"Middle Age",Hospital_Patient[[#This Row],[Age]]&gt;60,"Senior")</f>
        <v>Middle Age</v>
      </c>
      <c r="Q430" t="str" cm="1">
        <f t="array" ref="Q4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0">
        <f>YEAR(Hospital_Patient[[#This Row],[Discharge_Date]])</f>
        <v>2024</v>
      </c>
    </row>
    <row r="431" spans="1:18" x14ac:dyDescent="0.25">
      <c r="A431">
        <v>404</v>
      </c>
      <c r="B431">
        <v>53</v>
      </c>
      <c r="C431" t="s">
        <v>15</v>
      </c>
      <c r="D431" t="s">
        <v>33</v>
      </c>
      <c r="E431" t="s">
        <v>34</v>
      </c>
      <c r="F431" s="5">
        <v>45346</v>
      </c>
      <c r="G431" s="5">
        <v>45383</v>
      </c>
      <c r="H431" t="s">
        <v>35</v>
      </c>
      <c r="I431">
        <v>2024</v>
      </c>
      <c r="J431">
        <v>37</v>
      </c>
      <c r="K431" t="s">
        <v>21</v>
      </c>
      <c r="L431" t="s">
        <v>20</v>
      </c>
      <c r="M431">
        <v>4</v>
      </c>
      <c r="N431" t="s">
        <v>21</v>
      </c>
      <c r="O431">
        <v>25000</v>
      </c>
      <c r="P431" t="str" cm="1">
        <f t="array" ref="P431">_xlfn.IFS(Hospital_Patient[[#This Row],[Age]]&lt;=18,"Young",Hospital_Patient[[#This Row],[Age]]&lt;=36,"Adult",Hospital_Patient[[#This Row],[Age]]&lt;=60,"Middle Age",Hospital_Patient[[#This Row],[Age]]&gt;60,"Senior")</f>
        <v>Middle Age</v>
      </c>
      <c r="Q431" t="str" cm="1">
        <f t="array" ref="Q4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1">
        <f>YEAR(Hospital_Patient[[#This Row],[Discharge_Date]])</f>
        <v>2024</v>
      </c>
    </row>
    <row r="432" spans="1:18" x14ac:dyDescent="0.25">
      <c r="A432">
        <v>402</v>
      </c>
      <c r="B432">
        <v>35</v>
      </c>
      <c r="C432" t="s">
        <v>15</v>
      </c>
      <c r="D432" t="s">
        <v>27</v>
      </c>
      <c r="E432" t="s">
        <v>28</v>
      </c>
      <c r="F432" s="5">
        <v>45354</v>
      </c>
      <c r="G432" s="5">
        <v>45382</v>
      </c>
      <c r="H432" t="s">
        <v>29</v>
      </c>
      <c r="I432">
        <v>2024</v>
      </c>
      <c r="J432">
        <v>28</v>
      </c>
      <c r="K432" t="s">
        <v>21</v>
      </c>
      <c r="L432" t="s">
        <v>20</v>
      </c>
      <c r="M432">
        <v>5</v>
      </c>
      <c r="N432" t="s">
        <v>19</v>
      </c>
      <c r="O432">
        <v>500</v>
      </c>
      <c r="P432" t="str" cm="1">
        <f t="array" ref="P432">_xlfn.IFS(Hospital_Patient[[#This Row],[Age]]&lt;=18,"Young",Hospital_Patient[[#This Row],[Age]]&lt;=36,"Adult",Hospital_Patient[[#This Row],[Age]]&lt;=60,"Middle Age",Hospital_Patient[[#This Row],[Age]]&gt;60,"Senior")</f>
        <v>Adult</v>
      </c>
      <c r="Q432" t="str" cm="1">
        <f t="array" ref="Q4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32">
        <f>YEAR(Hospital_Patient[[#This Row],[Discharge_Date]])</f>
        <v>2024</v>
      </c>
    </row>
    <row r="433" spans="1:18" x14ac:dyDescent="0.25">
      <c r="A433">
        <v>428</v>
      </c>
      <c r="B433">
        <v>65</v>
      </c>
      <c r="C433" t="s">
        <v>15</v>
      </c>
      <c r="D433" t="s">
        <v>59</v>
      </c>
      <c r="E433" t="s">
        <v>60</v>
      </c>
      <c r="F433" s="5">
        <v>45349</v>
      </c>
      <c r="G433" s="5">
        <v>45382</v>
      </c>
      <c r="H433" t="s">
        <v>73</v>
      </c>
      <c r="I433">
        <v>2024</v>
      </c>
      <c r="J433">
        <v>33</v>
      </c>
      <c r="K433" t="s">
        <v>19</v>
      </c>
      <c r="L433" t="s">
        <v>26</v>
      </c>
      <c r="M433">
        <v>4</v>
      </c>
      <c r="N433" t="s">
        <v>19</v>
      </c>
      <c r="O433">
        <v>4000</v>
      </c>
      <c r="P433" t="str" cm="1">
        <f t="array" ref="P433">_xlfn.IFS(Hospital_Patient[[#This Row],[Age]]&lt;=18,"Young",Hospital_Patient[[#This Row],[Age]]&lt;=36,"Adult",Hospital_Patient[[#This Row],[Age]]&lt;=60,"Middle Age",Hospital_Patient[[#This Row],[Age]]&gt;60,"Senior")</f>
        <v>Senior</v>
      </c>
      <c r="Q433" t="str" cm="1">
        <f t="array" ref="Q4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3">
        <f>YEAR(Hospital_Patient[[#This Row],[Discharge_Date]])</f>
        <v>2024</v>
      </c>
    </row>
    <row r="434" spans="1:18" x14ac:dyDescent="0.25">
      <c r="A434">
        <v>11</v>
      </c>
      <c r="B434">
        <v>48</v>
      </c>
      <c r="C434" t="s">
        <v>15</v>
      </c>
      <c r="D434" t="s">
        <v>49</v>
      </c>
      <c r="E434" t="s">
        <v>50</v>
      </c>
      <c r="F434" s="5">
        <v>45379</v>
      </c>
      <c r="G434" s="5">
        <v>45381</v>
      </c>
      <c r="H434" t="s">
        <v>51</v>
      </c>
      <c r="I434">
        <v>2024</v>
      </c>
      <c r="J434">
        <v>2</v>
      </c>
      <c r="K434" t="s">
        <v>19</v>
      </c>
      <c r="L434" t="s">
        <v>26</v>
      </c>
      <c r="M434">
        <v>4</v>
      </c>
      <c r="N434" t="s">
        <v>19</v>
      </c>
      <c r="O434">
        <v>800</v>
      </c>
      <c r="P434" t="str" cm="1">
        <f t="array" ref="P434">_xlfn.IFS(Hospital_Patient[[#This Row],[Age]]&lt;=18,"Young",Hospital_Patient[[#This Row],[Age]]&lt;=36,"Adult",Hospital_Patient[[#This Row],[Age]]&lt;=60,"Middle Age",Hospital_Patient[[#This Row],[Age]]&gt;60,"Senior")</f>
        <v>Middle Age</v>
      </c>
      <c r="Q434" t="str" cm="1">
        <f t="array" ref="Q4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34">
        <f>YEAR(Hospital_Patient[[#This Row],[Discharge_Date]])</f>
        <v>2024</v>
      </c>
    </row>
    <row r="435" spans="1:18" hidden="1" x14ac:dyDescent="0.25">
      <c r="A435">
        <v>272</v>
      </c>
      <c r="B435">
        <v>68</v>
      </c>
      <c r="C435" t="s">
        <v>22</v>
      </c>
      <c r="D435" t="s">
        <v>36</v>
      </c>
      <c r="E435" t="s">
        <v>37</v>
      </c>
      <c r="F435" s="5">
        <v>45361</v>
      </c>
      <c r="G435" s="5">
        <v>45381</v>
      </c>
      <c r="H435" t="s">
        <v>69</v>
      </c>
      <c r="I435">
        <v>2024</v>
      </c>
      <c r="J435">
        <v>20</v>
      </c>
      <c r="K435" t="s">
        <v>19</v>
      </c>
      <c r="L435" t="s">
        <v>26</v>
      </c>
      <c r="M435">
        <v>4</v>
      </c>
      <c r="N435" t="s">
        <v>19</v>
      </c>
      <c r="O435">
        <v>1000</v>
      </c>
      <c r="P435" t="str" cm="1">
        <f t="array" ref="P435">_xlfn.IFS(Hospital_Patient[[#This Row],[Age]]&lt;=18,"Young",Hospital_Patient[[#This Row],[Age]]&lt;=36,"Adult",Hospital_Patient[[#This Row],[Age]]&lt;=60,"Middle Age",Hospital_Patient[[#This Row],[Age]]&gt;60,"Senior")</f>
        <v>Senior</v>
      </c>
      <c r="Q435" t="str" cm="1">
        <f t="array" ref="Q4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35">
        <f>YEAR(Hospital_Patient[[#This Row],[Discharge_Date]])</f>
        <v>2024</v>
      </c>
    </row>
    <row r="436" spans="1:18" x14ac:dyDescent="0.25">
      <c r="A436">
        <v>644</v>
      </c>
      <c r="B436">
        <v>75</v>
      </c>
      <c r="C436" t="s">
        <v>15</v>
      </c>
      <c r="D436" t="s">
        <v>45</v>
      </c>
      <c r="E436" t="s">
        <v>46</v>
      </c>
      <c r="F436" s="5">
        <v>45330</v>
      </c>
      <c r="G436" s="5">
        <v>45381</v>
      </c>
      <c r="H436" t="s">
        <v>18</v>
      </c>
      <c r="I436">
        <v>2024</v>
      </c>
      <c r="J436">
        <v>51</v>
      </c>
      <c r="K436" t="s">
        <v>21</v>
      </c>
      <c r="L436" t="s">
        <v>26</v>
      </c>
      <c r="M436">
        <v>2</v>
      </c>
      <c r="N436" t="s">
        <v>21</v>
      </c>
      <c r="O436">
        <v>18000</v>
      </c>
      <c r="P436" t="str" cm="1">
        <f t="array" ref="P436">_xlfn.IFS(Hospital_Patient[[#This Row],[Age]]&lt;=18,"Young",Hospital_Patient[[#This Row],[Age]]&lt;=36,"Adult",Hospital_Patient[[#This Row],[Age]]&lt;=60,"Middle Age",Hospital_Patient[[#This Row],[Age]]&gt;60,"Senior")</f>
        <v>Senior</v>
      </c>
      <c r="Q436" t="str" cm="1">
        <f t="array" ref="Q4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6">
        <f>YEAR(Hospital_Patient[[#This Row],[Discharge_Date]])</f>
        <v>2024</v>
      </c>
    </row>
    <row r="437" spans="1:18" x14ac:dyDescent="0.25">
      <c r="A437">
        <v>433</v>
      </c>
      <c r="B437">
        <v>53</v>
      </c>
      <c r="C437" t="s">
        <v>15</v>
      </c>
      <c r="D437" t="s">
        <v>33</v>
      </c>
      <c r="E437" t="s">
        <v>34</v>
      </c>
      <c r="F437" s="5">
        <v>45340</v>
      </c>
      <c r="G437" s="5">
        <v>45379</v>
      </c>
      <c r="H437" t="s">
        <v>69</v>
      </c>
      <c r="I437">
        <v>2024</v>
      </c>
      <c r="J437">
        <v>39</v>
      </c>
      <c r="K437" t="s">
        <v>21</v>
      </c>
      <c r="L437" t="s">
        <v>20</v>
      </c>
      <c r="M437">
        <v>4</v>
      </c>
      <c r="N437" t="s">
        <v>19</v>
      </c>
      <c r="O437">
        <v>25000</v>
      </c>
      <c r="P437" t="str" cm="1">
        <f t="array" ref="P437">_xlfn.IFS(Hospital_Patient[[#This Row],[Age]]&lt;=18,"Young",Hospital_Patient[[#This Row],[Age]]&lt;=36,"Adult",Hospital_Patient[[#This Row],[Age]]&lt;=60,"Middle Age",Hospital_Patient[[#This Row],[Age]]&gt;60,"Senior")</f>
        <v>Middle Age</v>
      </c>
      <c r="Q437" t="str" cm="1">
        <f t="array" ref="Q4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7">
        <f>YEAR(Hospital_Patient[[#This Row],[Discharge_Date]])</f>
        <v>2024</v>
      </c>
    </row>
    <row r="438" spans="1:18" x14ac:dyDescent="0.25">
      <c r="A438">
        <v>854</v>
      </c>
      <c r="B438">
        <v>35</v>
      </c>
      <c r="C438" t="s">
        <v>15</v>
      </c>
      <c r="D438" t="s">
        <v>54</v>
      </c>
      <c r="E438" t="s">
        <v>55</v>
      </c>
      <c r="F438" s="5">
        <v>45319</v>
      </c>
      <c r="G438" s="5">
        <v>45379</v>
      </c>
      <c r="H438" t="s">
        <v>78</v>
      </c>
      <c r="I438">
        <v>2024</v>
      </c>
      <c r="J438">
        <v>60</v>
      </c>
      <c r="K438" t="s">
        <v>19</v>
      </c>
      <c r="L438" t="s">
        <v>20</v>
      </c>
      <c r="M438">
        <v>4</v>
      </c>
      <c r="N438" t="s">
        <v>19</v>
      </c>
      <c r="O438">
        <v>12000</v>
      </c>
      <c r="P438" t="str" cm="1">
        <f t="array" ref="P438">_xlfn.IFS(Hospital_Patient[[#This Row],[Age]]&lt;=18,"Young",Hospital_Patient[[#This Row],[Age]]&lt;=36,"Adult",Hospital_Patient[[#This Row],[Age]]&lt;=60,"Middle Age",Hospital_Patient[[#This Row],[Age]]&gt;60,"Senior")</f>
        <v>Adult</v>
      </c>
      <c r="Q438" t="str" cm="1">
        <f t="array" ref="Q4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38">
        <f>YEAR(Hospital_Patient[[#This Row],[Discharge_Date]])</f>
        <v>2024</v>
      </c>
    </row>
    <row r="439" spans="1:18" hidden="1" x14ac:dyDescent="0.25">
      <c r="A439">
        <v>194</v>
      </c>
      <c r="B439">
        <v>62</v>
      </c>
      <c r="C439" t="s">
        <v>22</v>
      </c>
      <c r="D439" t="s">
        <v>23</v>
      </c>
      <c r="E439" t="s">
        <v>24</v>
      </c>
      <c r="F439" s="5">
        <v>45360</v>
      </c>
      <c r="G439" s="5">
        <v>45376</v>
      </c>
      <c r="H439" t="s">
        <v>25</v>
      </c>
      <c r="I439">
        <v>2024</v>
      </c>
      <c r="J439">
        <v>16</v>
      </c>
      <c r="K439" t="s">
        <v>19</v>
      </c>
      <c r="L439" t="s">
        <v>26</v>
      </c>
      <c r="M439">
        <v>4</v>
      </c>
      <c r="N439" t="s">
        <v>21</v>
      </c>
      <c r="O439">
        <v>2000</v>
      </c>
      <c r="P439" t="str" cm="1">
        <f t="array" ref="P439">_xlfn.IFS(Hospital_Patient[[#This Row],[Age]]&lt;=18,"Young",Hospital_Patient[[#This Row],[Age]]&lt;=36,"Adult",Hospital_Patient[[#This Row],[Age]]&lt;=60,"Middle Age",Hospital_Patient[[#This Row],[Age]]&gt;60,"Senior")</f>
        <v>Senior</v>
      </c>
      <c r="Q439" t="str" cm="1">
        <f t="array" ref="Q4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39">
        <f>YEAR(Hospital_Patient[[#This Row],[Discharge_Date]])</f>
        <v>2024</v>
      </c>
    </row>
    <row r="440" spans="1:18" hidden="1" x14ac:dyDescent="0.25">
      <c r="A440">
        <v>40</v>
      </c>
      <c r="B440">
        <v>25</v>
      </c>
      <c r="C440" t="s">
        <v>22</v>
      </c>
      <c r="D440" t="s">
        <v>47</v>
      </c>
      <c r="E440" t="s">
        <v>48</v>
      </c>
      <c r="F440" s="5">
        <v>45371</v>
      </c>
      <c r="G440" s="5">
        <v>45374</v>
      </c>
      <c r="H440" t="s">
        <v>73</v>
      </c>
      <c r="I440">
        <v>2024</v>
      </c>
      <c r="J440">
        <v>3</v>
      </c>
      <c r="K440" t="s">
        <v>19</v>
      </c>
      <c r="L440" t="s">
        <v>20</v>
      </c>
      <c r="M440">
        <v>5</v>
      </c>
      <c r="N440" t="s">
        <v>19</v>
      </c>
      <c r="O440">
        <v>100</v>
      </c>
      <c r="P440" t="str" cm="1">
        <f t="array" ref="P440">_xlfn.IFS(Hospital_Patient[[#This Row],[Age]]&lt;=18,"Young",Hospital_Patient[[#This Row],[Age]]&lt;=36,"Adult",Hospital_Patient[[#This Row],[Age]]&lt;=60,"Middle Age",Hospital_Patient[[#This Row],[Age]]&gt;60,"Senior")</f>
        <v>Adult</v>
      </c>
      <c r="Q440" t="str" cm="1">
        <f t="array" ref="Q4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40">
        <f>YEAR(Hospital_Patient[[#This Row],[Discharge_Date]])</f>
        <v>2024</v>
      </c>
    </row>
    <row r="441" spans="1:18" x14ac:dyDescent="0.25">
      <c r="A441">
        <v>131</v>
      </c>
      <c r="B441">
        <v>32</v>
      </c>
      <c r="C441" t="s">
        <v>15</v>
      </c>
      <c r="D441" t="s">
        <v>54</v>
      </c>
      <c r="E441" t="s">
        <v>55</v>
      </c>
      <c r="F441" s="5">
        <v>45363</v>
      </c>
      <c r="G441" s="5">
        <v>45374</v>
      </c>
      <c r="H441" t="s">
        <v>75</v>
      </c>
      <c r="I441">
        <v>2024</v>
      </c>
      <c r="J441">
        <v>11</v>
      </c>
      <c r="K441" t="s">
        <v>19</v>
      </c>
      <c r="L441" t="s">
        <v>20</v>
      </c>
      <c r="M441">
        <v>4</v>
      </c>
      <c r="N441" t="s">
        <v>21</v>
      </c>
      <c r="O441">
        <v>12000</v>
      </c>
      <c r="P441" t="str" cm="1">
        <f t="array" ref="P441">_xlfn.IFS(Hospital_Patient[[#This Row],[Age]]&lt;=18,"Young",Hospital_Patient[[#This Row],[Age]]&lt;=36,"Adult",Hospital_Patient[[#This Row],[Age]]&lt;=60,"Middle Age",Hospital_Patient[[#This Row],[Age]]&gt;60,"Senior")</f>
        <v>Adult</v>
      </c>
      <c r="Q441" t="str" cm="1">
        <f t="array" ref="Q4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41">
        <f>YEAR(Hospital_Patient[[#This Row],[Discharge_Date]])</f>
        <v>2024</v>
      </c>
    </row>
    <row r="442" spans="1:18" x14ac:dyDescent="0.25">
      <c r="A442">
        <v>699</v>
      </c>
      <c r="B442">
        <v>53</v>
      </c>
      <c r="C442" t="s">
        <v>15</v>
      </c>
      <c r="D442" t="s">
        <v>33</v>
      </c>
      <c r="E442" t="s">
        <v>34</v>
      </c>
      <c r="F442" s="5">
        <v>45316</v>
      </c>
      <c r="G442" s="5">
        <v>45373</v>
      </c>
      <c r="H442" t="s">
        <v>64</v>
      </c>
      <c r="I442">
        <v>2024</v>
      </c>
      <c r="J442">
        <v>57</v>
      </c>
      <c r="K442" t="s">
        <v>21</v>
      </c>
      <c r="L442" t="s">
        <v>20</v>
      </c>
      <c r="M442">
        <v>4</v>
      </c>
      <c r="N442" t="s">
        <v>19</v>
      </c>
      <c r="O442">
        <v>25000</v>
      </c>
      <c r="P442" t="str" cm="1">
        <f t="array" ref="P442">_xlfn.IFS(Hospital_Patient[[#This Row],[Age]]&lt;=18,"Young",Hospital_Patient[[#This Row],[Age]]&lt;=36,"Adult",Hospital_Patient[[#This Row],[Age]]&lt;=60,"Middle Age",Hospital_Patient[[#This Row],[Age]]&gt;60,"Senior")</f>
        <v>Middle Age</v>
      </c>
      <c r="Q442" t="str" cm="1">
        <f t="array" ref="Q4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42">
        <f>YEAR(Hospital_Patient[[#This Row],[Discharge_Date]])</f>
        <v>2024</v>
      </c>
    </row>
    <row r="443" spans="1:18" hidden="1" x14ac:dyDescent="0.25">
      <c r="A443">
        <v>122</v>
      </c>
      <c r="B443">
        <v>70</v>
      </c>
      <c r="C443" t="s">
        <v>22</v>
      </c>
      <c r="D443" t="s">
        <v>30</v>
      </c>
      <c r="E443" t="s">
        <v>31</v>
      </c>
      <c r="F443" s="5">
        <v>45356</v>
      </c>
      <c r="G443" s="5">
        <v>45371</v>
      </c>
      <c r="H443" t="s">
        <v>35</v>
      </c>
      <c r="I443">
        <v>2024</v>
      </c>
      <c r="J443">
        <v>15</v>
      </c>
      <c r="K443" t="s">
        <v>21</v>
      </c>
      <c r="L443" t="s">
        <v>26</v>
      </c>
      <c r="M443">
        <v>2</v>
      </c>
      <c r="N443" t="s">
        <v>19</v>
      </c>
      <c r="O443">
        <v>10000</v>
      </c>
      <c r="P443" t="str" cm="1">
        <f t="array" ref="P443">_xlfn.IFS(Hospital_Patient[[#This Row],[Age]]&lt;=18,"Young",Hospital_Patient[[#This Row],[Age]]&lt;=36,"Adult",Hospital_Patient[[#This Row],[Age]]&lt;=60,"Middle Age",Hospital_Patient[[#This Row],[Age]]&gt;60,"Senior")</f>
        <v>Senior</v>
      </c>
      <c r="Q443" t="str" cm="1">
        <f t="array" ref="Q4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43">
        <f>YEAR(Hospital_Patient[[#This Row],[Discharge_Date]])</f>
        <v>2024</v>
      </c>
    </row>
    <row r="444" spans="1:18" x14ac:dyDescent="0.25">
      <c r="A444">
        <v>941</v>
      </c>
      <c r="B444">
        <v>52</v>
      </c>
      <c r="C444" t="s">
        <v>15</v>
      </c>
      <c r="D444" t="s">
        <v>49</v>
      </c>
      <c r="E444" t="s">
        <v>50</v>
      </c>
      <c r="F444" s="5">
        <v>45303</v>
      </c>
      <c r="G444" s="5">
        <v>45368</v>
      </c>
      <c r="H444" t="s">
        <v>66</v>
      </c>
      <c r="I444">
        <v>2024</v>
      </c>
      <c r="J444">
        <v>65</v>
      </c>
      <c r="K444" t="s">
        <v>19</v>
      </c>
      <c r="L444" t="s">
        <v>26</v>
      </c>
      <c r="M444">
        <v>4</v>
      </c>
      <c r="N444" t="s">
        <v>19</v>
      </c>
      <c r="O444">
        <v>800</v>
      </c>
      <c r="P444" t="str" cm="1">
        <f t="array" ref="P444">_xlfn.IFS(Hospital_Patient[[#This Row],[Age]]&lt;=18,"Young",Hospital_Patient[[#This Row],[Age]]&lt;=36,"Adult",Hospital_Patient[[#This Row],[Age]]&lt;=60,"Middle Age",Hospital_Patient[[#This Row],[Age]]&gt;60,"Senior")</f>
        <v>Middle Age</v>
      </c>
      <c r="Q444" t="str" cm="1">
        <f t="array" ref="Q4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44">
        <f>YEAR(Hospital_Patient[[#This Row],[Discharge_Date]])</f>
        <v>2024</v>
      </c>
    </row>
    <row r="445" spans="1:18" x14ac:dyDescent="0.25">
      <c r="A445">
        <v>549</v>
      </c>
      <c r="B445">
        <v>35</v>
      </c>
      <c r="C445" t="s">
        <v>15</v>
      </c>
      <c r="D445" t="s">
        <v>27</v>
      </c>
      <c r="E445" t="s">
        <v>28</v>
      </c>
      <c r="F445" s="5">
        <v>45329</v>
      </c>
      <c r="G445" s="5">
        <v>45367</v>
      </c>
      <c r="H445" t="s">
        <v>29</v>
      </c>
      <c r="I445">
        <v>2024</v>
      </c>
      <c r="J445">
        <v>38</v>
      </c>
      <c r="K445" t="s">
        <v>21</v>
      </c>
      <c r="L445" t="s">
        <v>20</v>
      </c>
      <c r="M445">
        <v>5</v>
      </c>
      <c r="N445" t="s">
        <v>19</v>
      </c>
      <c r="O445">
        <v>500</v>
      </c>
      <c r="P445" t="str" cm="1">
        <f t="array" ref="P445">_xlfn.IFS(Hospital_Patient[[#This Row],[Age]]&lt;=18,"Young",Hospital_Patient[[#This Row],[Age]]&lt;=36,"Adult",Hospital_Patient[[#This Row],[Age]]&lt;=60,"Middle Age",Hospital_Patient[[#This Row],[Age]]&gt;60,"Senior")</f>
        <v>Adult</v>
      </c>
      <c r="Q445" t="str" cm="1">
        <f t="array" ref="Q4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45">
        <f>YEAR(Hospital_Patient[[#This Row],[Discharge_Date]])</f>
        <v>2024</v>
      </c>
    </row>
    <row r="446" spans="1:18" hidden="1" x14ac:dyDescent="0.25">
      <c r="A446">
        <v>309</v>
      </c>
      <c r="B446">
        <v>55</v>
      </c>
      <c r="C446" t="s">
        <v>22</v>
      </c>
      <c r="D446" t="s">
        <v>57</v>
      </c>
      <c r="E446" t="s">
        <v>58</v>
      </c>
      <c r="F446" s="5">
        <v>45342</v>
      </c>
      <c r="G446" s="5">
        <v>45366</v>
      </c>
      <c r="H446" t="s">
        <v>51</v>
      </c>
      <c r="I446">
        <v>2024</v>
      </c>
      <c r="J446">
        <v>24</v>
      </c>
      <c r="K446" t="s">
        <v>19</v>
      </c>
      <c r="L446" t="s">
        <v>20</v>
      </c>
      <c r="M446">
        <v>3</v>
      </c>
      <c r="N446" t="s">
        <v>19</v>
      </c>
      <c r="O446">
        <v>6000</v>
      </c>
      <c r="P446" t="str" cm="1">
        <f t="array" ref="P446">_xlfn.IFS(Hospital_Patient[[#This Row],[Age]]&lt;=18,"Young",Hospital_Patient[[#This Row],[Age]]&lt;=36,"Adult",Hospital_Patient[[#This Row],[Age]]&lt;=60,"Middle Age",Hospital_Patient[[#This Row],[Age]]&gt;60,"Senior")</f>
        <v>Middle Age</v>
      </c>
      <c r="Q446" t="str" cm="1">
        <f t="array" ref="Q4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46">
        <f>YEAR(Hospital_Patient[[#This Row],[Discharge_Date]])</f>
        <v>2024</v>
      </c>
    </row>
    <row r="447" spans="1:18" x14ac:dyDescent="0.25">
      <c r="A447">
        <v>35</v>
      </c>
      <c r="B447">
        <v>55</v>
      </c>
      <c r="C447" t="s">
        <v>15</v>
      </c>
      <c r="D447" t="s">
        <v>33</v>
      </c>
      <c r="E447" t="s">
        <v>34</v>
      </c>
      <c r="F447" s="5">
        <v>45352</v>
      </c>
      <c r="G447" s="5">
        <v>45364</v>
      </c>
      <c r="H447" t="s">
        <v>67</v>
      </c>
      <c r="I447">
        <v>2024</v>
      </c>
      <c r="J447">
        <v>12</v>
      </c>
      <c r="K447" t="s">
        <v>19</v>
      </c>
      <c r="L447" t="s">
        <v>20</v>
      </c>
      <c r="M447">
        <v>4</v>
      </c>
      <c r="N447" t="s">
        <v>19</v>
      </c>
      <c r="O447">
        <v>25000</v>
      </c>
      <c r="P447" t="str" cm="1">
        <f t="array" ref="P447">_xlfn.IFS(Hospital_Patient[[#This Row],[Age]]&lt;=18,"Young",Hospital_Patient[[#This Row],[Age]]&lt;=36,"Adult",Hospital_Patient[[#This Row],[Age]]&lt;=60,"Middle Age",Hospital_Patient[[#This Row],[Age]]&gt;60,"Senior")</f>
        <v>Middle Age</v>
      </c>
      <c r="Q447" t="str" cm="1">
        <f t="array" ref="Q4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47">
        <f>YEAR(Hospital_Patient[[#This Row],[Discharge_Date]])</f>
        <v>2024</v>
      </c>
    </row>
    <row r="448" spans="1:18" hidden="1" x14ac:dyDescent="0.25">
      <c r="A448">
        <v>527</v>
      </c>
      <c r="B448">
        <v>28</v>
      </c>
      <c r="C448" t="s">
        <v>22</v>
      </c>
      <c r="D448" t="s">
        <v>47</v>
      </c>
      <c r="E448" t="s">
        <v>48</v>
      </c>
      <c r="F448" s="5">
        <v>45328</v>
      </c>
      <c r="G448" s="5">
        <v>45364</v>
      </c>
      <c r="H448" t="s">
        <v>18</v>
      </c>
      <c r="I448">
        <v>2024</v>
      </c>
      <c r="J448">
        <v>36</v>
      </c>
      <c r="K448" t="s">
        <v>19</v>
      </c>
      <c r="L448" t="s">
        <v>20</v>
      </c>
      <c r="M448">
        <v>5</v>
      </c>
      <c r="N448" t="s">
        <v>19</v>
      </c>
      <c r="O448">
        <v>100</v>
      </c>
      <c r="P448" t="str" cm="1">
        <f t="array" ref="P448">_xlfn.IFS(Hospital_Patient[[#This Row],[Age]]&lt;=18,"Young",Hospital_Patient[[#This Row],[Age]]&lt;=36,"Adult",Hospital_Patient[[#This Row],[Age]]&lt;=60,"Middle Age",Hospital_Patient[[#This Row],[Age]]&gt;60,"Senior")</f>
        <v>Adult</v>
      </c>
      <c r="Q448" t="str" cm="1">
        <f t="array" ref="Q4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48">
        <f>YEAR(Hospital_Patient[[#This Row],[Discharge_Date]])</f>
        <v>2024</v>
      </c>
    </row>
    <row r="449" spans="1:18" x14ac:dyDescent="0.25">
      <c r="A449">
        <v>302</v>
      </c>
      <c r="B449">
        <v>45</v>
      </c>
      <c r="C449" t="s">
        <v>15</v>
      </c>
      <c r="D449" t="s">
        <v>39</v>
      </c>
      <c r="E449" t="s">
        <v>40</v>
      </c>
      <c r="F449" s="5">
        <v>45338</v>
      </c>
      <c r="G449" s="5">
        <v>45362</v>
      </c>
      <c r="H449" t="s">
        <v>72</v>
      </c>
      <c r="I449">
        <v>2024</v>
      </c>
      <c r="J449">
        <v>24</v>
      </c>
      <c r="K449" t="s">
        <v>19</v>
      </c>
      <c r="L449" t="s">
        <v>20</v>
      </c>
      <c r="M449">
        <v>3</v>
      </c>
      <c r="N449" t="s">
        <v>19</v>
      </c>
      <c r="O449">
        <v>8000</v>
      </c>
      <c r="P449" t="str" cm="1">
        <f t="array" ref="P449">_xlfn.IFS(Hospital_Patient[[#This Row],[Age]]&lt;=18,"Young",Hospital_Patient[[#This Row],[Age]]&lt;=36,"Adult",Hospital_Patient[[#This Row],[Age]]&lt;=60,"Middle Age",Hospital_Patient[[#This Row],[Age]]&gt;60,"Senior")</f>
        <v>Middle Age</v>
      </c>
      <c r="Q449" t="str" cm="1">
        <f t="array" ref="Q4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49">
        <f>YEAR(Hospital_Patient[[#This Row],[Discharge_Date]])</f>
        <v>2024</v>
      </c>
    </row>
    <row r="450" spans="1:18" x14ac:dyDescent="0.25">
      <c r="A450">
        <v>238</v>
      </c>
      <c r="B450">
        <v>48</v>
      </c>
      <c r="C450" t="s">
        <v>15</v>
      </c>
      <c r="D450" t="s">
        <v>16</v>
      </c>
      <c r="E450" t="s">
        <v>17</v>
      </c>
      <c r="F450" s="5">
        <v>45340</v>
      </c>
      <c r="G450" s="5">
        <v>45361</v>
      </c>
      <c r="H450" t="s">
        <v>69</v>
      </c>
      <c r="I450">
        <v>2024</v>
      </c>
      <c r="J450">
        <v>21</v>
      </c>
      <c r="K450" t="s">
        <v>21</v>
      </c>
      <c r="L450" t="s">
        <v>20</v>
      </c>
      <c r="M450">
        <v>4</v>
      </c>
      <c r="N450" t="s">
        <v>19</v>
      </c>
      <c r="O450">
        <v>15000</v>
      </c>
      <c r="P450" t="str" cm="1">
        <f t="array" ref="P450">_xlfn.IFS(Hospital_Patient[[#This Row],[Age]]&lt;=18,"Young",Hospital_Patient[[#This Row],[Age]]&lt;=36,"Adult",Hospital_Patient[[#This Row],[Age]]&lt;=60,"Middle Age",Hospital_Patient[[#This Row],[Age]]&gt;60,"Senior")</f>
        <v>Middle Age</v>
      </c>
      <c r="Q450" t="str" cm="1">
        <f t="array" ref="Q4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50">
        <f>YEAR(Hospital_Patient[[#This Row],[Discharge_Date]])</f>
        <v>2024</v>
      </c>
    </row>
    <row r="451" spans="1:18" hidden="1" x14ac:dyDescent="0.25">
      <c r="A451">
        <v>609</v>
      </c>
      <c r="B451">
        <v>78</v>
      </c>
      <c r="C451" t="s">
        <v>22</v>
      </c>
      <c r="D451" t="s">
        <v>30</v>
      </c>
      <c r="E451" t="s">
        <v>31</v>
      </c>
      <c r="F451" s="5">
        <v>45312</v>
      </c>
      <c r="G451" s="5">
        <v>45361</v>
      </c>
      <c r="H451" t="s">
        <v>35</v>
      </c>
      <c r="I451">
        <v>2024</v>
      </c>
      <c r="J451">
        <v>49</v>
      </c>
      <c r="K451" t="s">
        <v>19</v>
      </c>
      <c r="L451" t="s">
        <v>26</v>
      </c>
      <c r="M451">
        <v>2</v>
      </c>
      <c r="N451" t="s">
        <v>21</v>
      </c>
      <c r="O451">
        <v>10000</v>
      </c>
      <c r="P451" t="str" cm="1">
        <f t="array" ref="P451">_xlfn.IFS(Hospital_Patient[[#This Row],[Age]]&lt;=18,"Young",Hospital_Patient[[#This Row],[Age]]&lt;=36,"Adult",Hospital_Patient[[#This Row],[Age]]&lt;=60,"Middle Age",Hospital_Patient[[#This Row],[Age]]&gt;60,"Senior")</f>
        <v>Senior</v>
      </c>
      <c r="Q451" t="str" cm="1">
        <f t="array" ref="Q4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1">
        <f>YEAR(Hospital_Patient[[#This Row],[Discharge_Date]])</f>
        <v>2024</v>
      </c>
    </row>
    <row r="452" spans="1:18" hidden="1" x14ac:dyDescent="0.25">
      <c r="A452">
        <v>775</v>
      </c>
      <c r="B452">
        <v>40</v>
      </c>
      <c r="C452" t="s">
        <v>22</v>
      </c>
      <c r="D452" t="s">
        <v>42</v>
      </c>
      <c r="E452" t="s">
        <v>43</v>
      </c>
      <c r="F452" s="5">
        <v>45303</v>
      </c>
      <c r="G452" s="5">
        <v>45361</v>
      </c>
      <c r="H452" t="s">
        <v>44</v>
      </c>
      <c r="I452">
        <v>2024</v>
      </c>
      <c r="J452">
        <v>58</v>
      </c>
      <c r="K452" t="s">
        <v>19</v>
      </c>
      <c r="L452" t="s">
        <v>20</v>
      </c>
      <c r="M452">
        <v>4</v>
      </c>
      <c r="N452" t="s">
        <v>21</v>
      </c>
      <c r="O452">
        <v>3000</v>
      </c>
      <c r="P452" t="str" cm="1">
        <f t="array" ref="P452">_xlfn.IFS(Hospital_Patient[[#This Row],[Age]]&lt;=18,"Young",Hospital_Patient[[#This Row],[Age]]&lt;=36,"Adult",Hospital_Patient[[#This Row],[Age]]&lt;=60,"Middle Age",Hospital_Patient[[#This Row],[Age]]&gt;60,"Senior")</f>
        <v>Middle Age</v>
      </c>
      <c r="Q452" t="str" cm="1">
        <f t="array" ref="Q4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2">
        <f>YEAR(Hospital_Patient[[#This Row],[Discharge_Date]])</f>
        <v>2024</v>
      </c>
    </row>
    <row r="453" spans="1:18" hidden="1" x14ac:dyDescent="0.25">
      <c r="A453">
        <v>185</v>
      </c>
      <c r="B453">
        <v>40</v>
      </c>
      <c r="C453" t="s">
        <v>22</v>
      </c>
      <c r="D453" t="s">
        <v>42</v>
      </c>
      <c r="E453" t="s">
        <v>43</v>
      </c>
      <c r="F453" s="5">
        <v>45342</v>
      </c>
      <c r="G453" s="5">
        <v>45360</v>
      </c>
      <c r="H453" t="s">
        <v>44</v>
      </c>
      <c r="I453">
        <v>2024</v>
      </c>
      <c r="J453">
        <v>18</v>
      </c>
      <c r="K453" t="s">
        <v>19</v>
      </c>
      <c r="L453" t="s">
        <v>20</v>
      </c>
      <c r="M453">
        <v>4</v>
      </c>
      <c r="N453" t="s">
        <v>21</v>
      </c>
      <c r="O453">
        <v>3000</v>
      </c>
      <c r="P453" t="str" cm="1">
        <f t="array" ref="P453">_xlfn.IFS(Hospital_Patient[[#This Row],[Age]]&lt;=18,"Young",Hospital_Patient[[#This Row],[Age]]&lt;=36,"Adult",Hospital_Patient[[#This Row],[Age]]&lt;=60,"Middle Age",Hospital_Patient[[#This Row],[Age]]&gt;60,"Senior")</f>
        <v>Middle Age</v>
      </c>
      <c r="Q453" t="str" cm="1">
        <f t="array" ref="Q4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53">
        <f>YEAR(Hospital_Patient[[#This Row],[Discharge_Date]])</f>
        <v>2024</v>
      </c>
    </row>
    <row r="454" spans="1:18" hidden="1" x14ac:dyDescent="0.25">
      <c r="A454">
        <v>232</v>
      </c>
      <c r="B454">
        <v>28</v>
      </c>
      <c r="C454" t="s">
        <v>22</v>
      </c>
      <c r="D454" t="s">
        <v>47</v>
      </c>
      <c r="E454" t="s">
        <v>48</v>
      </c>
      <c r="F454" s="5">
        <v>45341</v>
      </c>
      <c r="G454" s="5">
        <v>45357</v>
      </c>
      <c r="H454" t="s">
        <v>73</v>
      </c>
      <c r="I454">
        <v>2024</v>
      </c>
      <c r="J454">
        <v>16</v>
      </c>
      <c r="K454" t="s">
        <v>19</v>
      </c>
      <c r="L454" t="s">
        <v>20</v>
      </c>
      <c r="M454">
        <v>5</v>
      </c>
      <c r="N454" t="s">
        <v>19</v>
      </c>
      <c r="O454">
        <v>100</v>
      </c>
      <c r="P454" t="str" cm="1">
        <f t="array" ref="P454">_xlfn.IFS(Hospital_Patient[[#This Row],[Age]]&lt;=18,"Young",Hospital_Patient[[#This Row],[Age]]&lt;=36,"Adult",Hospital_Patient[[#This Row],[Age]]&lt;=60,"Middle Age",Hospital_Patient[[#This Row],[Age]]&gt;60,"Senior")</f>
        <v>Adult</v>
      </c>
      <c r="Q454" t="str" cm="1">
        <f t="array" ref="Q4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54">
        <f>YEAR(Hospital_Patient[[#This Row],[Discharge_Date]])</f>
        <v>2024</v>
      </c>
    </row>
    <row r="455" spans="1:18" x14ac:dyDescent="0.25">
      <c r="A455">
        <v>389</v>
      </c>
      <c r="B455">
        <v>55</v>
      </c>
      <c r="C455" t="s">
        <v>15</v>
      </c>
      <c r="D455" t="s">
        <v>33</v>
      </c>
      <c r="E455" t="s">
        <v>34</v>
      </c>
      <c r="F455" s="5">
        <v>45320</v>
      </c>
      <c r="G455" s="5">
        <v>45356</v>
      </c>
      <c r="H455" t="s">
        <v>67</v>
      </c>
      <c r="I455">
        <v>2024</v>
      </c>
      <c r="J455">
        <v>36</v>
      </c>
      <c r="K455" t="s">
        <v>19</v>
      </c>
      <c r="L455" t="s">
        <v>20</v>
      </c>
      <c r="M455">
        <v>4</v>
      </c>
      <c r="N455" t="s">
        <v>21</v>
      </c>
      <c r="O455">
        <v>25000</v>
      </c>
      <c r="P455" t="str" cm="1">
        <f t="array" ref="P455">_xlfn.IFS(Hospital_Patient[[#This Row],[Age]]&lt;=18,"Young",Hospital_Patient[[#This Row],[Age]]&lt;=36,"Adult",Hospital_Patient[[#This Row],[Age]]&lt;=60,"Middle Age",Hospital_Patient[[#This Row],[Age]]&gt;60,"Senior")</f>
        <v>Middle Age</v>
      </c>
      <c r="Q455" t="str" cm="1">
        <f t="array" ref="Q4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5">
        <f>YEAR(Hospital_Patient[[#This Row],[Discharge_Date]])</f>
        <v>2024</v>
      </c>
    </row>
    <row r="456" spans="1:18" x14ac:dyDescent="0.25">
      <c r="A456">
        <v>513</v>
      </c>
      <c r="B456">
        <v>52</v>
      </c>
      <c r="C456" t="s">
        <v>15</v>
      </c>
      <c r="D456" t="s">
        <v>49</v>
      </c>
      <c r="E456" t="s">
        <v>50</v>
      </c>
      <c r="F456" s="5">
        <v>45320</v>
      </c>
      <c r="G456" s="5">
        <v>45356</v>
      </c>
      <c r="H456" t="s">
        <v>51</v>
      </c>
      <c r="I456">
        <v>2024</v>
      </c>
      <c r="J456">
        <v>36</v>
      </c>
      <c r="K456" t="s">
        <v>19</v>
      </c>
      <c r="L456" t="s">
        <v>26</v>
      </c>
      <c r="M456">
        <v>4</v>
      </c>
      <c r="N456" t="s">
        <v>19</v>
      </c>
      <c r="O456">
        <v>800</v>
      </c>
      <c r="P456" t="str" cm="1">
        <f t="array" ref="P456">_xlfn.IFS(Hospital_Patient[[#This Row],[Age]]&lt;=18,"Young",Hospital_Patient[[#This Row],[Age]]&lt;=36,"Adult",Hospital_Patient[[#This Row],[Age]]&lt;=60,"Middle Age",Hospital_Patient[[#This Row],[Age]]&gt;60,"Senior")</f>
        <v>Middle Age</v>
      </c>
      <c r="Q456" t="str" cm="1">
        <f t="array" ref="Q4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6">
        <f>YEAR(Hospital_Patient[[#This Row],[Discharge_Date]])</f>
        <v>2024</v>
      </c>
    </row>
    <row r="457" spans="1:18" x14ac:dyDescent="0.25">
      <c r="A457">
        <v>701</v>
      </c>
      <c r="B457">
        <v>60</v>
      </c>
      <c r="C457" t="s">
        <v>15</v>
      </c>
      <c r="D457" t="s">
        <v>39</v>
      </c>
      <c r="E457" t="s">
        <v>40</v>
      </c>
      <c r="F457" s="5">
        <v>45302</v>
      </c>
      <c r="G457" s="5">
        <v>45355</v>
      </c>
      <c r="H457" t="s">
        <v>73</v>
      </c>
      <c r="I457">
        <v>2024</v>
      </c>
      <c r="J457">
        <v>53</v>
      </c>
      <c r="K457" t="s">
        <v>21</v>
      </c>
      <c r="L457" t="s">
        <v>20</v>
      </c>
      <c r="M457">
        <v>3</v>
      </c>
      <c r="N457" t="s">
        <v>21</v>
      </c>
      <c r="O457">
        <v>8000</v>
      </c>
      <c r="P457" t="str" cm="1">
        <f t="array" ref="P457">_xlfn.IFS(Hospital_Patient[[#This Row],[Age]]&lt;=18,"Young",Hospital_Patient[[#This Row],[Age]]&lt;=36,"Adult",Hospital_Patient[[#This Row],[Age]]&lt;=60,"Middle Age",Hospital_Patient[[#This Row],[Age]]&gt;60,"Senior")</f>
        <v>Middle Age</v>
      </c>
      <c r="Q457" t="str" cm="1">
        <f t="array" ref="Q4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7">
        <f>YEAR(Hospital_Patient[[#This Row],[Discharge_Date]])</f>
        <v>2024</v>
      </c>
    </row>
    <row r="458" spans="1:18" hidden="1" x14ac:dyDescent="0.25">
      <c r="A458">
        <v>57</v>
      </c>
      <c r="B458">
        <v>67</v>
      </c>
      <c r="C458" t="s">
        <v>22</v>
      </c>
      <c r="D458" t="s">
        <v>52</v>
      </c>
      <c r="E458" t="s">
        <v>53</v>
      </c>
      <c r="F458" s="5">
        <v>45338</v>
      </c>
      <c r="G458" s="5">
        <v>45350</v>
      </c>
      <c r="H458" t="s">
        <v>29</v>
      </c>
      <c r="I458">
        <v>2024</v>
      </c>
      <c r="J458">
        <v>12</v>
      </c>
      <c r="K458" t="s">
        <v>19</v>
      </c>
      <c r="L458" t="s">
        <v>20</v>
      </c>
      <c r="M458">
        <v>3</v>
      </c>
      <c r="N458" t="s">
        <v>19</v>
      </c>
      <c r="O458">
        <v>20000</v>
      </c>
      <c r="P458" t="str" cm="1">
        <f t="array" ref="P458">_xlfn.IFS(Hospital_Patient[[#This Row],[Age]]&lt;=18,"Young",Hospital_Patient[[#This Row],[Age]]&lt;=36,"Adult",Hospital_Patient[[#This Row],[Age]]&lt;=60,"Middle Age",Hospital_Patient[[#This Row],[Age]]&gt;60,"Senior")</f>
        <v>Senior</v>
      </c>
      <c r="Q458" t="str" cm="1">
        <f t="array" ref="Q4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58">
        <f>YEAR(Hospital_Patient[[#This Row],[Discharge_Date]])</f>
        <v>2024</v>
      </c>
    </row>
    <row r="459" spans="1:18" x14ac:dyDescent="0.25">
      <c r="A459">
        <v>557</v>
      </c>
      <c r="B459">
        <v>52</v>
      </c>
      <c r="C459" t="s">
        <v>15</v>
      </c>
      <c r="D459" t="s">
        <v>49</v>
      </c>
      <c r="E459" t="s">
        <v>50</v>
      </c>
      <c r="F459" s="5">
        <v>45311</v>
      </c>
      <c r="G459" s="5">
        <v>45350</v>
      </c>
      <c r="H459" t="s">
        <v>71</v>
      </c>
      <c r="I459">
        <v>2024</v>
      </c>
      <c r="J459">
        <v>39</v>
      </c>
      <c r="K459" t="s">
        <v>19</v>
      </c>
      <c r="L459" t="s">
        <v>26</v>
      </c>
      <c r="M459">
        <v>4</v>
      </c>
      <c r="N459" t="s">
        <v>19</v>
      </c>
      <c r="O459">
        <v>800</v>
      </c>
      <c r="P459" t="str" cm="1">
        <f t="array" ref="P459">_xlfn.IFS(Hospital_Patient[[#This Row],[Age]]&lt;=18,"Young",Hospital_Patient[[#This Row],[Age]]&lt;=36,"Adult",Hospital_Patient[[#This Row],[Age]]&lt;=60,"Middle Age",Hospital_Patient[[#This Row],[Age]]&gt;60,"Senior")</f>
        <v>Middle Age</v>
      </c>
      <c r="Q459" t="str" cm="1">
        <f t="array" ref="Q4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59">
        <f>YEAR(Hospital_Patient[[#This Row],[Discharge_Date]])</f>
        <v>2024</v>
      </c>
    </row>
    <row r="460" spans="1:18" x14ac:dyDescent="0.25">
      <c r="A460">
        <v>913</v>
      </c>
      <c r="B460">
        <v>35</v>
      </c>
      <c r="C460" t="s">
        <v>15</v>
      </c>
      <c r="D460" t="s">
        <v>54</v>
      </c>
      <c r="E460" t="s">
        <v>55</v>
      </c>
      <c r="F460" s="5">
        <v>45286</v>
      </c>
      <c r="G460" s="5">
        <v>45350</v>
      </c>
      <c r="H460" t="s">
        <v>56</v>
      </c>
      <c r="I460">
        <v>2023</v>
      </c>
      <c r="J460">
        <v>64</v>
      </c>
      <c r="K460" t="s">
        <v>19</v>
      </c>
      <c r="L460" t="s">
        <v>20</v>
      </c>
      <c r="M460">
        <v>4</v>
      </c>
      <c r="N460" t="s">
        <v>19</v>
      </c>
      <c r="O460">
        <v>12000</v>
      </c>
      <c r="P460" t="str" cm="1">
        <f t="array" ref="P460">_xlfn.IFS(Hospital_Patient[[#This Row],[Age]]&lt;=18,"Young",Hospital_Patient[[#This Row],[Age]]&lt;=36,"Adult",Hospital_Patient[[#This Row],[Age]]&lt;=60,"Middle Age",Hospital_Patient[[#This Row],[Age]]&gt;60,"Senior")</f>
        <v>Adult</v>
      </c>
      <c r="Q460" t="str" cm="1">
        <f t="array" ref="Q4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60">
        <f>YEAR(Hospital_Patient[[#This Row],[Discharge_Date]])</f>
        <v>2024</v>
      </c>
    </row>
    <row r="461" spans="1:18" x14ac:dyDescent="0.25">
      <c r="A461">
        <v>572</v>
      </c>
      <c r="B461">
        <v>52</v>
      </c>
      <c r="C461" t="s">
        <v>15</v>
      </c>
      <c r="D461" t="s">
        <v>49</v>
      </c>
      <c r="E461" t="s">
        <v>50</v>
      </c>
      <c r="F461" s="5">
        <v>45309</v>
      </c>
      <c r="G461" s="5">
        <v>45349</v>
      </c>
      <c r="H461" t="s">
        <v>71</v>
      </c>
      <c r="I461">
        <v>2024</v>
      </c>
      <c r="J461">
        <v>40</v>
      </c>
      <c r="K461" t="s">
        <v>19</v>
      </c>
      <c r="L461" t="s">
        <v>26</v>
      </c>
      <c r="M461">
        <v>4</v>
      </c>
      <c r="N461" t="s">
        <v>21</v>
      </c>
      <c r="O461">
        <v>800</v>
      </c>
      <c r="P461" t="str" cm="1">
        <f t="array" ref="P461">_xlfn.IFS(Hospital_Patient[[#This Row],[Age]]&lt;=18,"Young",Hospital_Patient[[#This Row],[Age]]&lt;=36,"Adult",Hospital_Patient[[#This Row],[Age]]&lt;=60,"Middle Age",Hospital_Patient[[#This Row],[Age]]&gt;60,"Senior")</f>
        <v>Middle Age</v>
      </c>
      <c r="Q461" t="str" cm="1">
        <f t="array" ref="Q4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1">
        <f>YEAR(Hospital_Patient[[#This Row],[Discharge_Date]])</f>
        <v>2024</v>
      </c>
    </row>
    <row r="462" spans="1:18" x14ac:dyDescent="0.25">
      <c r="A462">
        <v>783</v>
      </c>
      <c r="B462">
        <v>55</v>
      </c>
      <c r="C462" t="s">
        <v>15</v>
      </c>
      <c r="D462" t="s">
        <v>16</v>
      </c>
      <c r="E462" t="s">
        <v>17</v>
      </c>
      <c r="F462" s="5">
        <v>45291</v>
      </c>
      <c r="G462" s="5">
        <v>45349</v>
      </c>
      <c r="H462" t="s">
        <v>69</v>
      </c>
      <c r="I462">
        <v>2023</v>
      </c>
      <c r="J462">
        <v>58</v>
      </c>
      <c r="K462" t="s">
        <v>21</v>
      </c>
      <c r="L462" t="s">
        <v>20</v>
      </c>
      <c r="M462">
        <v>3</v>
      </c>
      <c r="N462" t="s">
        <v>19</v>
      </c>
      <c r="O462">
        <v>15000</v>
      </c>
      <c r="P462" t="str" cm="1">
        <f t="array" ref="P462">_xlfn.IFS(Hospital_Patient[[#This Row],[Age]]&lt;=18,"Young",Hospital_Patient[[#This Row],[Age]]&lt;=36,"Adult",Hospital_Patient[[#This Row],[Age]]&lt;=60,"Middle Age",Hospital_Patient[[#This Row],[Age]]&gt;60,"Senior")</f>
        <v>Middle Age</v>
      </c>
      <c r="Q462" t="str" cm="1">
        <f t="array" ref="Q4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2">
        <f>YEAR(Hospital_Patient[[#This Row],[Discharge_Date]])</f>
        <v>2024</v>
      </c>
    </row>
    <row r="463" spans="1:18" x14ac:dyDescent="0.25">
      <c r="A463">
        <v>359</v>
      </c>
      <c r="B463">
        <v>55</v>
      </c>
      <c r="C463" t="s">
        <v>15</v>
      </c>
      <c r="D463" t="s">
        <v>33</v>
      </c>
      <c r="E463" t="s">
        <v>34</v>
      </c>
      <c r="F463" s="5">
        <v>45313</v>
      </c>
      <c r="G463" s="5">
        <v>45347</v>
      </c>
      <c r="H463" t="s">
        <v>35</v>
      </c>
      <c r="I463">
        <v>2024</v>
      </c>
      <c r="J463">
        <v>34</v>
      </c>
      <c r="K463" t="s">
        <v>19</v>
      </c>
      <c r="L463" t="s">
        <v>20</v>
      </c>
      <c r="M463">
        <v>4</v>
      </c>
      <c r="N463" t="s">
        <v>21</v>
      </c>
      <c r="O463">
        <v>25000</v>
      </c>
      <c r="P463" t="str" cm="1">
        <f t="array" ref="P463">_xlfn.IFS(Hospital_Patient[[#This Row],[Age]]&lt;=18,"Young",Hospital_Patient[[#This Row],[Age]]&lt;=36,"Adult",Hospital_Patient[[#This Row],[Age]]&lt;=60,"Middle Age",Hospital_Patient[[#This Row],[Age]]&gt;60,"Senior")</f>
        <v>Middle Age</v>
      </c>
      <c r="Q463" t="str" cm="1">
        <f t="array" ref="Q4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3">
        <f>YEAR(Hospital_Patient[[#This Row],[Discharge_Date]])</f>
        <v>2024</v>
      </c>
    </row>
    <row r="464" spans="1:18" x14ac:dyDescent="0.25">
      <c r="A464">
        <v>658</v>
      </c>
      <c r="B464">
        <v>78</v>
      </c>
      <c r="C464" t="s">
        <v>15</v>
      </c>
      <c r="D464" t="s">
        <v>45</v>
      </c>
      <c r="E464" t="s">
        <v>46</v>
      </c>
      <c r="F464" s="5">
        <v>45293</v>
      </c>
      <c r="G464" s="5">
        <v>45345</v>
      </c>
      <c r="H464" t="s">
        <v>18</v>
      </c>
      <c r="I464">
        <v>2024</v>
      </c>
      <c r="J464">
        <v>52</v>
      </c>
      <c r="K464" t="s">
        <v>21</v>
      </c>
      <c r="L464" t="s">
        <v>26</v>
      </c>
      <c r="M464">
        <v>2</v>
      </c>
      <c r="N464" t="s">
        <v>19</v>
      </c>
      <c r="O464">
        <v>18000</v>
      </c>
      <c r="P464" t="str" cm="1">
        <f t="array" ref="P464">_xlfn.IFS(Hospital_Patient[[#This Row],[Age]]&lt;=18,"Young",Hospital_Patient[[#This Row],[Age]]&lt;=36,"Adult",Hospital_Patient[[#This Row],[Age]]&lt;=60,"Middle Age",Hospital_Patient[[#This Row],[Age]]&gt;60,"Senior")</f>
        <v>Senior</v>
      </c>
      <c r="Q464" t="str" cm="1">
        <f t="array" ref="Q4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4">
        <f>YEAR(Hospital_Patient[[#This Row],[Discharge_Date]])</f>
        <v>2024</v>
      </c>
    </row>
    <row r="465" spans="1:18" x14ac:dyDescent="0.25">
      <c r="A465">
        <v>64</v>
      </c>
      <c r="B465">
        <v>55</v>
      </c>
      <c r="C465" t="s">
        <v>15</v>
      </c>
      <c r="D465" t="s">
        <v>33</v>
      </c>
      <c r="E465" t="s">
        <v>34</v>
      </c>
      <c r="F465" s="5">
        <v>45328</v>
      </c>
      <c r="G465" s="5">
        <v>45342</v>
      </c>
      <c r="H465" t="s">
        <v>35</v>
      </c>
      <c r="I465">
        <v>2024</v>
      </c>
      <c r="J465">
        <v>14</v>
      </c>
      <c r="K465" t="s">
        <v>19</v>
      </c>
      <c r="L465" t="s">
        <v>20</v>
      </c>
      <c r="M465">
        <v>4</v>
      </c>
      <c r="N465" t="s">
        <v>21</v>
      </c>
      <c r="O465">
        <v>25000</v>
      </c>
      <c r="P465" t="str" cm="1">
        <f t="array" ref="P465">_xlfn.IFS(Hospital_Patient[[#This Row],[Age]]&lt;=18,"Young",Hospital_Patient[[#This Row],[Age]]&lt;=36,"Adult",Hospital_Patient[[#This Row],[Age]]&lt;=60,"Middle Age",Hospital_Patient[[#This Row],[Age]]&gt;60,"Senior")</f>
        <v>Middle Age</v>
      </c>
      <c r="Q465" t="str" cm="1">
        <f t="array" ref="Q4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65">
        <f>YEAR(Hospital_Patient[[#This Row],[Discharge_Date]])</f>
        <v>2024</v>
      </c>
    </row>
    <row r="466" spans="1:18" x14ac:dyDescent="0.25">
      <c r="A466">
        <v>465</v>
      </c>
      <c r="B466">
        <v>60</v>
      </c>
      <c r="C466" t="s">
        <v>15</v>
      </c>
      <c r="D466" t="s">
        <v>39</v>
      </c>
      <c r="E466" t="s">
        <v>40</v>
      </c>
      <c r="F466" s="5">
        <v>45307</v>
      </c>
      <c r="G466" s="5">
        <v>45342</v>
      </c>
      <c r="H466" t="s">
        <v>72</v>
      </c>
      <c r="I466">
        <v>2024</v>
      </c>
      <c r="J466">
        <v>35</v>
      </c>
      <c r="K466" t="s">
        <v>21</v>
      </c>
      <c r="L466" t="s">
        <v>20</v>
      </c>
      <c r="M466">
        <v>3</v>
      </c>
      <c r="N466" t="s">
        <v>19</v>
      </c>
      <c r="O466">
        <v>8000</v>
      </c>
      <c r="P466" t="str" cm="1">
        <f t="array" ref="P466">_xlfn.IFS(Hospital_Patient[[#This Row],[Age]]&lt;=18,"Young",Hospital_Patient[[#This Row],[Age]]&lt;=36,"Adult",Hospital_Patient[[#This Row],[Age]]&lt;=60,"Middle Age",Hospital_Patient[[#This Row],[Age]]&gt;60,"Senior")</f>
        <v>Middle Age</v>
      </c>
      <c r="Q466" t="str" cm="1">
        <f t="array" ref="Q4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6">
        <f>YEAR(Hospital_Patient[[#This Row],[Discharge_Date]])</f>
        <v>2024</v>
      </c>
    </row>
    <row r="467" spans="1:18" x14ac:dyDescent="0.25">
      <c r="A467">
        <v>72</v>
      </c>
      <c r="B467">
        <v>32</v>
      </c>
      <c r="C467" t="s">
        <v>15</v>
      </c>
      <c r="D467" t="s">
        <v>54</v>
      </c>
      <c r="E467" t="s">
        <v>55</v>
      </c>
      <c r="F467" s="5">
        <v>45334</v>
      </c>
      <c r="G467" s="5">
        <v>45341</v>
      </c>
      <c r="H467" t="s">
        <v>68</v>
      </c>
      <c r="I467">
        <v>2024</v>
      </c>
      <c r="J467">
        <v>7</v>
      </c>
      <c r="K467" t="s">
        <v>19</v>
      </c>
      <c r="L467" t="s">
        <v>20</v>
      </c>
      <c r="M467">
        <v>4</v>
      </c>
      <c r="N467" t="s">
        <v>21</v>
      </c>
      <c r="O467">
        <v>12000</v>
      </c>
      <c r="P467" t="str" cm="1">
        <f t="array" ref="P467">_xlfn.IFS(Hospital_Patient[[#This Row],[Age]]&lt;=18,"Young",Hospital_Patient[[#This Row],[Age]]&lt;=36,"Adult",Hospital_Patient[[#This Row],[Age]]&lt;=60,"Middle Age",Hospital_Patient[[#This Row],[Age]]&gt;60,"Senior")</f>
        <v>Adult</v>
      </c>
      <c r="Q467" t="str" cm="1">
        <f t="array" ref="Q4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67">
        <f>YEAR(Hospital_Patient[[#This Row],[Discharge_Date]])</f>
        <v>2024</v>
      </c>
    </row>
    <row r="468" spans="1:18" x14ac:dyDescent="0.25">
      <c r="A468">
        <v>1</v>
      </c>
      <c r="B468">
        <v>45</v>
      </c>
      <c r="C468" t="s">
        <v>15</v>
      </c>
      <c r="D468" t="s">
        <v>16</v>
      </c>
      <c r="E468" t="s">
        <v>17</v>
      </c>
      <c r="F468" s="5">
        <v>45329</v>
      </c>
      <c r="G468" s="5">
        <v>45334</v>
      </c>
      <c r="H468" t="s">
        <v>18</v>
      </c>
      <c r="I468">
        <v>2024</v>
      </c>
      <c r="J468">
        <v>5</v>
      </c>
      <c r="K468" t="s">
        <v>19</v>
      </c>
      <c r="L468" t="s">
        <v>20</v>
      </c>
      <c r="M468">
        <v>4</v>
      </c>
      <c r="N468" t="s">
        <v>21</v>
      </c>
      <c r="O468">
        <v>15000</v>
      </c>
      <c r="P468" t="str" cm="1">
        <f t="array" ref="P468">_xlfn.IFS(Hospital_Patient[[#This Row],[Age]]&lt;=18,"Young",Hospital_Patient[[#This Row],[Age]]&lt;=36,"Adult",Hospital_Patient[[#This Row],[Age]]&lt;=60,"Middle Age",Hospital_Patient[[#This Row],[Age]]&gt;60,"Senior")</f>
        <v>Middle Age</v>
      </c>
      <c r="Q468" t="str" cm="1">
        <f t="array" ref="Q4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68">
        <f>YEAR(Hospital_Patient[[#This Row],[Discharge_Date]])</f>
        <v>2024</v>
      </c>
    </row>
    <row r="469" spans="1:18" x14ac:dyDescent="0.25">
      <c r="A469">
        <v>500</v>
      </c>
      <c r="B469">
        <v>35</v>
      </c>
      <c r="C469" t="s">
        <v>15</v>
      </c>
      <c r="D469" t="s">
        <v>54</v>
      </c>
      <c r="E469" t="s">
        <v>55</v>
      </c>
      <c r="F469" s="5">
        <v>45298</v>
      </c>
      <c r="G469" s="5">
        <v>45334</v>
      </c>
      <c r="H469" t="s">
        <v>78</v>
      </c>
      <c r="I469">
        <v>2024</v>
      </c>
      <c r="J469">
        <v>36</v>
      </c>
      <c r="K469" t="s">
        <v>19</v>
      </c>
      <c r="L469" t="s">
        <v>20</v>
      </c>
      <c r="M469">
        <v>4</v>
      </c>
      <c r="N469" t="s">
        <v>19</v>
      </c>
      <c r="O469">
        <v>12000</v>
      </c>
      <c r="P469" t="str" cm="1">
        <f t="array" ref="P469">_xlfn.IFS(Hospital_Patient[[#This Row],[Age]]&lt;=18,"Young",Hospital_Patient[[#This Row],[Age]]&lt;=36,"Adult",Hospital_Patient[[#This Row],[Age]]&lt;=60,"Middle Age",Hospital_Patient[[#This Row],[Age]]&gt;60,"Senior")</f>
        <v>Adult</v>
      </c>
      <c r="Q469" t="str" cm="1">
        <f t="array" ref="Q4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69">
        <f>YEAR(Hospital_Patient[[#This Row],[Discharge_Date]])</f>
        <v>2024</v>
      </c>
    </row>
    <row r="470" spans="1:18" hidden="1" x14ac:dyDescent="0.25">
      <c r="A470">
        <v>670</v>
      </c>
      <c r="B470">
        <v>72</v>
      </c>
      <c r="C470" t="s">
        <v>22</v>
      </c>
      <c r="D470" t="s">
        <v>36</v>
      </c>
      <c r="E470" t="s">
        <v>37</v>
      </c>
      <c r="F470" s="5">
        <v>45285</v>
      </c>
      <c r="G470" s="5">
        <v>45334</v>
      </c>
      <c r="H470" t="s">
        <v>79</v>
      </c>
      <c r="I470">
        <v>2023</v>
      </c>
      <c r="J470">
        <v>49</v>
      </c>
      <c r="K470" t="s">
        <v>19</v>
      </c>
      <c r="L470" t="s">
        <v>26</v>
      </c>
      <c r="M470">
        <v>4</v>
      </c>
      <c r="N470" t="s">
        <v>19</v>
      </c>
      <c r="O470">
        <v>1000</v>
      </c>
      <c r="P470" t="str" cm="1">
        <f t="array" ref="P470">_xlfn.IFS(Hospital_Patient[[#This Row],[Age]]&lt;=18,"Young",Hospital_Patient[[#This Row],[Age]]&lt;=36,"Adult",Hospital_Patient[[#This Row],[Age]]&lt;=60,"Middle Age",Hospital_Patient[[#This Row],[Age]]&gt;60,"Senior")</f>
        <v>Senior</v>
      </c>
      <c r="Q470" t="str" cm="1">
        <f t="array" ref="Q4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0">
        <f>YEAR(Hospital_Patient[[#This Row],[Discharge_Date]])</f>
        <v>2024</v>
      </c>
    </row>
    <row r="471" spans="1:18" hidden="1" x14ac:dyDescent="0.25">
      <c r="A471">
        <v>398</v>
      </c>
      <c r="B471">
        <v>55</v>
      </c>
      <c r="C471" t="s">
        <v>22</v>
      </c>
      <c r="D471" t="s">
        <v>57</v>
      </c>
      <c r="E471" t="s">
        <v>58</v>
      </c>
      <c r="F471" s="5">
        <v>45302</v>
      </c>
      <c r="G471" s="5">
        <v>45332</v>
      </c>
      <c r="H471" t="s">
        <v>51</v>
      </c>
      <c r="I471">
        <v>2024</v>
      </c>
      <c r="J471">
        <v>30</v>
      </c>
      <c r="K471" t="s">
        <v>19</v>
      </c>
      <c r="L471" t="s">
        <v>20</v>
      </c>
      <c r="M471">
        <v>3</v>
      </c>
      <c r="N471" t="s">
        <v>19</v>
      </c>
      <c r="O471">
        <v>6000</v>
      </c>
      <c r="P471" t="str" cm="1">
        <f t="array" ref="P471">_xlfn.IFS(Hospital_Patient[[#This Row],[Age]]&lt;=18,"Young",Hospital_Patient[[#This Row],[Age]]&lt;=36,"Adult",Hospital_Patient[[#This Row],[Age]]&lt;=60,"Middle Age",Hospital_Patient[[#This Row],[Age]]&gt;60,"Senior")</f>
        <v>Middle Age</v>
      </c>
      <c r="Q471" t="str" cm="1">
        <f t="array" ref="Q4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71">
        <f>YEAR(Hospital_Patient[[#This Row],[Discharge_Date]])</f>
        <v>2024</v>
      </c>
    </row>
    <row r="472" spans="1:18" hidden="1" x14ac:dyDescent="0.25">
      <c r="A472">
        <v>401</v>
      </c>
      <c r="B472">
        <v>62</v>
      </c>
      <c r="C472" t="s">
        <v>22</v>
      </c>
      <c r="D472" t="s">
        <v>23</v>
      </c>
      <c r="E472" t="s">
        <v>24</v>
      </c>
      <c r="F472" s="5">
        <v>45302</v>
      </c>
      <c r="G472" s="5">
        <v>45332</v>
      </c>
      <c r="H472" t="s">
        <v>18</v>
      </c>
      <c r="I472">
        <v>2024</v>
      </c>
      <c r="J472">
        <v>30</v>
      </c>
      <c r="K472" t="s">
        <v>19</v>
      </c>
      <c r="L472" t="s">
        <v>26</v>
      </c>
      <c r="M472">
        <v>4</v>
      </c>
      <c r="N472" t="s">
        <v>19</v>
      </c>
      <c r="O472">
        <v>2000</v>
      </c>
      <c r="P472" t="str" cm="1">
        <f t="array" ref="P472">_xlfn.IFS(Hospital_Patient[[#This Row],[Age]]&lt;=18,"Young",Hospital_Patient[[#This Row],[Age]]&lt;=36,"Adult",Hospital_Patient[[#This Row],[Age]]&lt;=60,"Middle Age",Hospital_Patient[[#This Row],[Age]]&gt;60,"Senior")</f>
        <v>Senior</v>
      </c>
      <c r="Q472" t="str" cm="1">
        <f t="array" ref="Q4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72">
        <f>YEAR(Hospital_Patient[[#This Row],[Discharge_Date]])</f>
        <v>2024</v>
      </c>
    </row>
    <row r="473" spans="1:18" hidden="1" x14ac:dyDescent="0.25">
      <c r="A473">
        <v>712</v>
      </c>
      <c r="B473">
        <v>70</v>
      </c>
      <c r="C473" t="s">
        <v>22</v>
      </c>
      <c r="D473" t="s">
        <v>30</v>
      </c>
      <c r="E473" t="s">
        <v>31</v>
      </c>
      <c r="F473" s="5">
        <v>45276</v>
      </c>
      <c r="G473" s="5">
        <v>45332</v>
      </c>
      <c r="H473" t="s">
        <v>35</v>
      </c>
      <c r="I473">
        <v>2023</v>
      </c>
      <c r="J473">
        <v>56</v>
      </c>
      <c r="K473" t="s">
        <v>21</v>
      </c>
      <c r="L473" t="s">
        <v>26</v>
      </c>
      <c r="M473">
        <v>2</v>
      </c>
      <c r="N473" t="s">
        <v>19</v>
      </c>
      <c r="O473">
        <v>10000</v>
      </c>
      <c r="P473" t="str" cm="1">
        <f t="array" ref="P473">_xlfn.IFS(Hospital_Patient[[#This Row],[Age]]&lt;=18,"Young",Hospital_Patient[[#This Row],[Age]]&lt;=36,"Adult",Hospital_Patient[[#This Row],[Age]]&lt;=60,"Middle Age",Hospital_Patient[[#This Row],[Age]]&gt;60,"Senior")</f>
        <v>Senior</v>
      </c>
      <c r="Q473" t="str" cm="1">
        <f t="array" ref="Q4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3">
        <f>YEAR(Hospital_Patient[[#This Row],[Discharge_Date]])</f>
        <v>2024</v>
      </c>
    </row>
    <row r="474" spans="1:18" x14ac:dyDescent="0.25">
      <c r="A474">
        <v>20</v>
      </c>
      <c r="B474">
        <v>53</v>
      </c>
      <c r="C474" t="s">
        <v>15</v>
      </c>
      <c r="D474" t="s">
        <v>33</v>
      </c>
      <c r="E474" t="s">
        <v>34</v>
      </c>
      <c r="F474" s="5">
        <v>45320</v>
      </c>
      <c r="G474" s="5">
        <v>45331</v>
      </c>
      <c r="H474" t="s">
        <v>64</v>
      </c>
      <c r="I474">
        <v>2024</v>
      </c>
      <c r="J474">
        <v>11</v>
      </c>
      <c r="K474" t="s">
        <v>21</v>
      </c>
      <c r="L474" t="s">
        <v>20</v>
      </c>
      <c r="M474">
        <v>4</v>
      </c>
      <c r="N474" t="s">
        <v>21</v>
      </c>
      <c r="O474">
        <v>25000</v>
      </c>
      <c r="P474" t="str" cm="1">
        <f t="array" ref="P474">_xlfn.IFS(Hospital_Patient[[#This Row],[Age]]&lt;=18,"Young",Hospital_Patient[[#This Row],[Age]]&lt;=36,"Adult",Hospital_Patient[[#This Row],[Age]]&lt;=60,"Middle Age",Hospital_Patient[[#This Row],[Age]]&gt;60,"Senior")</f>
        <v>Middle Age</v>
      </c>
      <c r="Q474" t="str" cm="1">
        <f t="array" ref="Q4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474">
        <f>YEAR(Hospital_Patient[[#This Row],[Discharge_Date]])</f>
        <v>2024</v>
      </c>
    </row>
    <row r="475" spans="1:18" x14ac:dyDescent="0.25">
      <c r="A475">
        <v>679</v>
      </c>
      <c r="B475">
        <v>60</v>
      </c>
      <c r="C475" t="s">
        <v>15</v>
      </c>
      <c r="D475" t="s">
        <v>59</v>
      </c>
      <c r="E475" t="s">
        <v>60</v>
      </c>
      <c r="F475" s="5">
        <v>45281</v>
      </c>
      <c r="G475" s="5">
        <v>45331</v>
      </c>
      <c r="H475" t="s">
        <v>61</v>
      </c>
      <c r="I475">
        <v>2023</v>
      </c>
      <c r="J475">
        <v>50</v>
      </c>
      <c r="K475" t="s">
        <v>19</v>
      </c>
      <c r="L475" t="s">
        <v>26</v>
      </c>
      <c r="M475">
        <v>4</v>
      </c>
      <c r="N475" t="s">
        <v>21</v>
      </c>
      <c r="O475">
        <v>4000</v>
      </c>
      <c r="P475" t="str" cm="1">
        <f t="array" ref="P475">_xlfn.IFS(Hospital_Patient[[#This Row],[Age]]&lt;=18,"Young",Hospital_Patient[[#This Row],[Age]]&lt;=36,"Adult",Hospital_Patient[[#This Row],[Age]]&lt;=60,"Middle Age",Hospital_Patient[[#This Row],[Age]]&gt;60,"Senior")</f>
        <v>Middle Age</v>
      </c>
      <c r="Q475" t="str" cm="1">
        <f t="array" ref="Q4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5">
        <f>YEAR(Hospital_Patient[[#This Row],[Discharge_Date]])</f>
        <v>2024</v>
      </c>
    </row>
    <row r="476" spans="1:18" x14ac:dyDescent="0.25">
      <c r="A476">
        <v>656</v>
      </c>
      <c r="B476">
        <v>45</v>
      </c>
      <c r="C476" t="s">
        <v>15</v>
      </c>
      <c r="D476" t="s">
        <v>39</v>
      </c>
      <c r="E476" t="s">
        <v>40</v>
      </c>
      <c r="F476" s="5">
        <v>45280</v>
      </c>
      <c r="G476" s="5">
        <v>45330</v>
      </c>
      <c r="H476" t="s">
        <v>72</v>
      </c>
      <c r="I476">
        <v>2023</v>
      </c>
      <c r="J476">
        <v>50</v>
      </c>
      <c r="K476" t="s">
        <v>19</v>
      </c>
      <c r="L476" t="s">
        <v>20</v>
      </c>
      <c r="M476">
        <v>3</v>
      </c>
      <c r="N476" t="s">
        <v>19</v>
      </c>
      <c r="O476">
        <v>8000</v>
      </c>
      <c r="P476" t="str" cm="1">
        <f t="array" ref="P476">_xlfn.IFS(Hospital_Patient[[#This Row],[Age]]&lt;=18,"Young",Hospital_Patient[[#This Row],[Age]]&lt;=36,"Adult",Hospital_Patient[[#This Row],[Age]]&lt;=60,"Middle Age",Hospital_Patient[[#This Row],[Age]]&gt;60,"Senior")</f>
        <v>Middle Age</v>
      </c>
      <c r="Q476" t="str" cm="1">
        <f t="array" ref="Q4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6">
        <f>YEAR(Hospital_Patient[[#This Row],[Discharge_Date]])</f>
        <v>2024</v>
      </c>
    </row>
    <row r="477" spans="1:18" hidden="1" x14ac:dyDescent="0.25">
      <c r="A477">
        <v>809</v>
      </c>
      <c r="B477">
        <v>58</v>
      </c>
      <c r="C477" t="s">
        <v>22</v>
      </c>
      <c r="D477" t="s">
        <v>52</v>
      </c>
      <c r="E477" t="s">
        <v>53</v>
      </c>
      <c r="F477" s="5">
        <v>45267</v>
      </c>
      <c r="G477" s="5">
        <v>45330</v>
      </c>
      <c r="H477" t="s">
        <v>18</v>
      </c>
      <c r="I477">
        <v>2023</v>
      </c>
      <c r="J477">
        <v>63</v>
      </c>
      <c r="K477" t="s">
        <v>19</v>
      </c>
      <c r="L477" t="s">
        <v>20</v>
      </c>
      <c r="M477">
        <v>3</v>
      </c>
      <c r="N477" t="s">
        <v>19</v>
      </c>
      <c r="O477">
        <v>20000</v>
      </c>
      <c r="P477" t="str" cm="1">
        <f t="array" ref="P477">_xlfn.IFS(Hospital_Patient[[#This Row],[Age]]&lt;=18,"Young",Hospital_Patient[[#This Row],[Age]]&lt;=36,"Adult",Hospital_Patient[[#This Row],[Age]]&lt;=60,"Middle Age",Hospital_Patient[[#This Row],[Age]]&gt;60,"Senior")</f>
        <v>Middle Age</v>
      </c>
      <c r="Q477" t="str" cm="1">
        <f t="array" ref="Q4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77">
        <f>YEAR(Hospital_Patient[[#This Row],[Discharge_Date]])</f>
        <v>2024</v>
      </c>
    </row>
    <row r="478" spans="1:18" hidden="1" x14ac:dyDescent="0.25">
      <c r="A478">
        <v>506</v>
      </c>
      <c r="B478">
        <v>70</v>
      </c>
      <c r="C478" t="s">
        <v>22</v>
      </c>
      <c r="D478" t="s">
        <v>30</v>
      </c>
      <c r="E478" t="s">
        <v>31</v>
      </c>
      <c r="F478" s="5">
        <v>45287</v>
      </c>
      <c r="G478" s="5">
        <v>45329</v>
      </c>
      <c r="H478" t="s">
        <v>32</v>
      </c>
      <c r="I478">
        <v>2023</v>
      </c>
      <c r="J478">
        <v>42</v>
      </c>
      <c r="K478" t="s">
        <v>21</v>
      </c>
      <c r="L478" t="s">
        <v>26</v>
      </c>
      <c r="M478">
        <v>2</v>
      </c>
      <c r="N478" t="s">
        <v>19</v>
      </c>
      <c r="O478">
        <v>10000</v>
      </c>
      <c r="P478" t="str" cm="1">
        <f t="array" ref="P478">_xlfn.IFS(Hospital_Patient[[#This Row],[Age]]&lt;=18,"Young",Hospital_Patient[[#This Row],[Age]]&lt;=36,"Adult",Hospital_Patient[[#This Row],[Age]]&lt;=60,"Middle Age",Hospital_Patient[[#This Row],[Age]]&gt;60,"Senior")</f>
        <v>Senior</v>
      </c>
      <c r="Q478" t="str" cm="1">
        <f t="array" ref="Q4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8">
        <f>YEAR(Hospital_Patient[[#This Row],[Discharge_Date]])</f>
        <v>2024</v>
      </c>
    </row>
    <row r="479" spans="1:18" x14ac:dyDescent="0.25">
      <c r="A479">
        <v>589</v>
      </c>
      <c r="B479">
        <v>35</v>
      </c>
      <c r="C479" t="s">
        <v>15</v>
      </c>
      <c r="D479" t="s">
        <v>54</v>
      </c>
      <c r="E479" t="s">
        <v>55</v>
      </c>
      <c r="F479" s="5">
        <v>45285</v>
      </c>
      <c r="G479" s="5">
        <v>45327</v>
      </c>
      <c r="H479" t="s">
        <v>56</v>
      </c>
      <c r="I479">
        <v>2023</v>
      </c>
      <c r="J479">
        <v>42</v>
      </c>
      <c r="K479" t="s">
        <v>19</v>
      </c>
      <c r="L479" t="s">
        <v>20</v>
      </c>
      <c r="M479">
        <v>4</v>
      </c>
      <c r="N479" t="s">
        <v>19</v>
      </c>
      <c r="O479">
        <v>12000</v>
      </c>
      <c r="P479" t="str" cm="1">
        <f t="array" ref="P479">_xlfn.IFS(Hospital_Patient[[#This Row],[Age]]&lt;=18,"Young",Hospital_Patient[[#This Row],[Age]]&lt;=36,"Adult",Hospital_Patient[[#This Row],[Age]]&lt;=60,"Middle Age",Hospital_Patient[[#This Row],[Age]]&gt;60,"Senior")</f>
        <v>Adult</v>
      </c>
      <c r="Q479" t="str" cm="1">
        <f t="array" ref="Q4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79">
        <f>YEAR(Hospital_Patient[[#This Row],[Discharge_Date]])</f>
        <v>2024</v>
      </c>
    </row>
    <row r="480" spans="1:18" x14ac:dyDescent="0.25">
      <c r="A480">
        <v>891</v>
      </c>
      <c r="B480">
        <v>55</v>
      </c>
      <c r="C480" t="s">
        <v>15</v>
      </c>
      <c r="D480" t="s">
        <v>33</v>
      </c>
      <c r="E480" t="s">
        <v>34</v>
      </c>
      <c r="F480" s="5">
        <v>45256</v>
      </c>
      <c r="G480" s="5">
        <v>45326</v>
      </c>
      <c r="H480" t="s">
        <v>64</v>
      </c>
      <c r="I480">
        <v>2023</v>
      </c>
      <c r="J480">
        <v>70</v>
      </c>
      <c r="K480" t="s">
        <v>19</v>
      </c>
      <c r="L480" t="s">
        <v>20</v>
      </c>
      <c r="M480">
        <v>4</v>
      </c>
      <c r="N480" t="s">
        <v>21</v>
      </c>
      <c r="O480">
        <v>25000</v>
      </c>
      <c r="P480" t="str" cm="1">
        <f t="array" ref="P480">_xlfn.IFS(Hospital_Patient[[#This Row],[Age]]&lt;=18,"Young",Hospital_Patient[[#This Row],[Age]]&lt;=36,"Adult",Hospital_Patient[[#This Row],[Age]]&lt;=60,"Middle Age",Hospital_Patient[[#This Row],[Age]]&gt;60,"Senior")</f>
        <v>Middle Age</v>
      </c>
      <c r="Q480" t="str" cm="1">
        <f t="array" ref="Q4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80">
        <f>YEAR(Hospital_Patient[[#This Row],[Discharge_Date]])</f>
        <v>2024</v>
      </c>
    </row>
    <row r="481" spans="1:18" hidden="1" x14ac:dyDescent="0.25">
      <c r="A481">
        <v>746</v>
      </c>
      <c r="B481">
        <v>40</v>
      </c>
      <c r="C481" t="s">
        <v>22</v>
      </c>
      <c r="D481" t="s">
        <v>42</v>
      </c>
      <c r="E481" t="s">
        <v>43</v>
      </c>
      <c r="F481" s="5">
        <v>45268</v>
      </c>
      <c r="G481" s="5">
        <v>45324</v>
      </c>
      <c r="H481" t="s">
        <v>29</v>
      </c>
      <c r="I481">
        <v>2023</v>
      </c>
      <c r="J481">
        <v>56</v>
      </c>
      <c r="K481" t="s">
        <v>19</v>
      </c>
      <c r="L481" t="s">
        <v>20</v>
      </c>
      <c r="M481">
        <v>4</v>
      </c>
      <c r="N481" t="s">
        <v>21</v>
      </c>
      <c r="O481">
        <v>3000</v>
      </c>
      <c r="P481" t="str" cm="1">
        <f t="array" ref="P481">_xlfn.IFS(Hospital_Patient[[#This Row],[Age]]&lt;=18,"Young",Hospital_Patient[[#This Row],[Age]]&lt;=36,"Adult",Hospital_Patient[[#This Row],[Age]]&lt;=60,"Middle Age",Hospital_Patient[[#This Row],[Age]]&gt;60,"Senior")</f>
        <v>Middle Age</v>
      </c>
      <c r="Q481" t="str" cm="1">
        <f t="array" ref="Q4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81">
        <f>YEAR(Hospital_Patient[[#This Row],[Discharge_Date]])</f>
        <v>2024</v>
      </c>
    </row>
    <row r="482" spans="1:18" x14ac:dyDescent="0.25">
      <c r="A482">
        <v>325</v>
      </c>
      <c r="B482">
        <v>60</v>
      </c>
      <c r="C482" t="s">
        <v>15</v>
      </c>
      <c r="D482" t="s">
        <v>59</v>
      </c>
      <c r="E482" t="s">
        <v>60</v>
      </c>
      <c r="F482" s="5">
        <v>45297</v>
      </c>
      <c r="G482" s="5">
        <v>45323</v>
      </c>
      <c r="H482" t="s">
        <v>61</v>
      </c>
      <c r="I482">
        <v>2024</v>
      </c>
      <c r="J482">
        <v>26</v>
      </c>
      <c r="K482" t="s">
        <v>19</v>
      </c>
      <c r="L482" t="s">
        <v>26</v>
      </c>
      <c r="M482">
        <v>4</v>
      </c>
      <c r="N482" t="s">
        <v>19</v>
      </c>
      <c r="O482">
        <v>4000</v>
      </c>
      <c r="P482" t="str" cm="1">
        <f t="array" ref="P482">_xlfn.IFS(Hospital_Patient[[#This Row],[Age]]&lt;=18,"Young",Hospital_Patient[[#This Row],[Age]]&lt;=36,"Adult",Hospital_Patient[[#This Row],[Age]]&lt;=60,"Middle Age",Hospital_Patient[[#This Row],[Age]]&gt;60,"Senior")</f>
        <v>Middle Age</v>
      </c>
      <c r="Q482" t="str" cm="1">
        <f t="array" ref="Q4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82">
        <f>YEAR(Hospital_Patient[[#This Row],[Discharge_Date]])</f>
        <v>2024</v>
      </c>
    </row>
    <row r="483" spans="1:18" x14ac:dyDescent="0.25">
      <c r="A483">
        <v>664</v>
      </c>
      <c r="B483">
        <v>65</v>
      </c>
      <c r="C483" t="s">
        <v>15</v>
      </c>
      <c r="D483" t="s">
        <v>59</v>
      </c>
      <c r="E483" t="s">
        <v>60</v>
      </c>
      <c r="F483" s="5">
        <v>45273</v>
      </c>
      <c r="G483" s="5">
        <v>45322</v>
      </c>
      <c r="H483" t="s">
        <v>61</v>
      </c>
      <c r="I483">
        <v>2023</v>
      </c>
      <c r="J483">
        <v>49</v>
      </c>
      <c r="K483" t="s">
        <v>19</v>
      </c>
      <c r="L483" t="s">
        <v>26</v>
      </c>
      <c r="M483">
        <v>4</v>
      </c>
      <c r="N483" t="s">
        <v>19</v>
      </c>
      <c r="O483">
        <v>4000</v>
      </c>
      <c r="P483" t="str" cm="1">
        <f t="array" ref="P483">_xlfn.IFS(Hospital_Patient[[#This Row],[Age]]&lt;=18,"Young",Hospital_Patient[[#This Row],[Age]]&lt;=36,"Adult",Hospital_Patient[[#This Row],[Age]]&lt;=60,"Middle Age",Hospital_Patient[[#This Row],[Age]]&gt;60,"Senior")</f>
        <v>Senior</v>
      </c>
      <c r="Q483" t="str" cm="1">
        <f t="array" ref="Q4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83">
        <f>YEAR(Hospital_Patient[[#This Row],[Discharge_Date]])</f>
        <v>2024</v>
      </c>
    </row>
    <row r="484" spans="1:18" x14ac:dyDescent="0.25">
      <c r="A484">
        <v>528</v>
      </c>
      <c r="B484">
        <v>52</v>
      </c>
      <c r="C484" t="s">
        <v>15</v>
      </c>
      <c r="D484" t="s">
        <v>49</v>
      </c>
      <c r="E484" t="s">
        <v>50</v>
      </c>
      <c r="F484" s="5">
        <v>45284</v>
      </c>
      <c r="G484" s="5">
        <v>45321</v>
      </c>
      <c r="H484" t="s">
        <v>66</v>
      </c>
      <c r="I484">
        <v>2023</v>
      </c>
      <c r="J484">
        <v>37</v>
      </c>
      <c r="K484" t="s">
        <v>19</v>
      </c>
      <c r="L484" t="s">
        <v>26</v>
      </c>
      <c r="M484">
        <v>4</v>
      </c>
      <c r="N484" t="s">
        <v>19</v>
      </c>
      <c r="O484">
        <v>800</v>
      </c>
      <c r="P484" t="str" cm="1">
        <f t="array" ref="P484">_xlfn.IFS(Hospital_Patient[[#This Row],[Age]]&lt;=18,"Young",Hospital_Patient[[#This Row],[Age]]&lt;=36,"Adult",Hospital_Patient[[#This Row],[Age]]&lt;=60,"Middle Age",Hospital_Patient[[#This Row],[Age]]&gt;60,"Senior")</f>
        <v>Middle Age</v>
      </c>
      <c r="Q484" t="str" cm="1">
        <f t="array" ref="Q4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84">
        <f>YEAR(Hospital_Patient[[#This Row],[Discharge_Date]])</f>
        <v>2024</v>
      </c>
    </row>
    <row r="485" spans="1:18" x14ac:dyDescent="0.25">
      <c r="A485">
        <v>960</v>
      </c>
      <c r="B485">
        <v>55</v>
      </c>
      <c r="C485" t="s">
        <v>15</v>
      </c>
      <c r="D485" t="s">
        <v>16</v>
      </c>
      <c r="E485" t="s">
        <v>17</v>
      </c>
      <c r="F485" s="5">
        <v>45251</v>
      </c>
      <c r="G485" s="5">
        <v>45321</v>
      </c>
      <c r="H485" t="s">
        <v>73</v>
      </c>
      <c r="I485">
        <v>2023</v>
      </c>
      <c r="J485">
        <v>70</v>
      </c>
      <c r="K485" t="s">
        <v>21</v>
      </c>
      <c r="L485" t="s">
        <v>20</v>
      </c>
      <c r="M485">
        <v>3</v>
      </c>
      <c r="N485" t="s">
        <v>19</v>
      </c>
      <c r="O485">
        <v>15000</v>
      </c>
      <c r="P485" t="str" cm="1">
        <f t="array" ref="P485">_xlfn.IFS(Hospital_Patient[[#This Row],[Age]]&lt;=18,"Young",Hospital_Patient[[#This Row],[Age]]&lt;=36,"Adult",Hospital_Patient[[#This Row],[Age]]&lt;=60,"Middle Age",Hospital_Patient[[#This Row],[Age]]&gt;60,"Senior")</f>
        <v>Middle Age</v>
      </c>
      <c r="Q485" t="str" cm="1">
        <f t="array" ref="Q4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85">
        <f>YEAR(Hospital_Patient[[#This Row],[Discharge_Date]])</f>
        <v>2024</v>
      </c>
    </row>
    <row r="486" spans="1:18" x14ac:dyDescent="0.25">
      <c r="A486">
        <v>220</v>
      </c>
      <c r="B486">
        <v>32</v>
      </c>
      <c r="C486" t="s">
        <v>15</v>
      </c>
      <c r="D486" t="s">
        <v>54</v>
      </c>
      <c r="E486" t="s">
        <v>55</v>
      </c>
      <c r="F486" s="5">
        <v>45303</v>
      </c>
      <c r="G486" s="5">
        <v>45320</v>
      </c>
      <c r="H486" t="s">
        <v>56</v>
      </c>
      <c r="I486">
        <v>2024</v>
      </c>
      <c r="J486">
        <v>17</v>
      </c>
      <c r="K486" t="s">
        <v>19</v>
      </c>
      <c r="L486" t="s">
        <v>20</v>
      </c>
      <c r="M486">
        <v>4</v>
      </c>
      <c r="N486" t="s">
        <v>19</v>
      </c>
      <c r="O486">
        <v>12000</v>
      </c>
      <c r="P486" t="str" cm="1">
        <f t="array" ref="P486">_xlfn.IFS(Hospital_Patient[[#This Row],[Age]]&lt;=18,"Young",Hospital_Patient[[#This Row],[Age]]&lt;=36,"Adult",Hospital_Patient[[#This Row],[Age]]&lt;=60,"Middle Age",Hospital_Patient[[#This Row],[Age]]&gt;60,"Senior")</f>
        <v>Adult</v>
      </c>
      <c r="Q486" t="str" cm="1">
        <f t="array" ref="Q4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86">
        <f>YEAR(Hospital_Patient[[#This Row],[Discharge_Date]])</f>
        <v>2024</v>
      </c>
    </row>
    <row r="487" spans="1:18" x14ac:dyDescent="0.25">
      <c r="A487">
        <v>509</v>
      </c>
      <c r="B487">
        <v>45</v>
      </c>
      <c r="C487" t="s">
        <v>15</v>
      </c>
      <c r="D487" t="s">
        <v>39</v>
      </c>
      <c r="E487" t="s">
        <v>40</v>
      </c>
      <c r="F487" s="5">
        <v>45280</v>
      </c>
      <c r="G487" s="5">
        <v>45318</v>
      </c>
      <c r="H487" t="s">
        <v>18</v>
      </c>
      <c r="I487">
        <v>2023</v>
      </c>
      <c r="J487">
        <v>38</v>
      </c>
      <c r="K487" t="s">
        <v>19</v>
      </c>
      <c r="L487" t="s">
        <v>20</v>
      </c>
      <c r="M487">
        <v>3</v>
      </c>
      <c r="N487" t="s">
        <v>19</v>
      </c>
      <c r="O487">
        <v>8000</v>
      </c>
      <c r="P487" t="str" cm="1">
        <f t="array" ref="P487">_xlfn.IFS(Hospital_Patient[[#This Row],[Age]]&lt;=18,"Young",Hospital_Patient[[#This Row],[Age]]&lt;=36,"Adult",Hospital_Patient[[#This Row],[Age]]&lt;=60,"Middle Age",Hospital_Patient[[#This Row],[Age]]&gt;60,"Senior")</f>
        <v>Middle Age</v>
      </c>
      <c r="Q487" t="str" cm="1">
        <f t="array" ref="Q4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87">
        <f>YEAR(Hospital_Patient[[#This Row],[Discharge_Date]])</f>
        <v>2024</v>
      </c>
    </row>
    <row r="488" spans="1:18" x14ac:dyDescent="0.25">
      <c r="A488">
        <v>62</v>
      </c>
      <c r="B488">
        <v>30</v>
      </c>
      <c r="C488" t="s">
        <v>15</v>
      </c>
      <c r="D488" t="s">
        <v>27</v>
      </c>
      <c r="E488" t="s">
        <v>28</v>
      </c>
      <c r="F488" s="5">
        <v>45312</v>
      </c>
      <c r="G488" s="5">
        <v>45317</v>
      </c>
      <c r="H488" t="s">
        <v>29</v>
      </c>
      <c r="I488">
        <v>2024</v>
      </c>
      <c r="J488">
        <v>5</v>
      </c>
      <c r="K488" t="s">
        <v>19</v>
      </c>
      <c r="L488" t="s">
        <v>20</v>
      </c>
      <c r="M488">
        <v>5</v>
      </c>
      <c r="N488" t="s">
        <v>19</v>
      </c>
      <c r="O488">
        <v>500</v>
      </c>
      <c r="P488" t="str" cm="1">
        <f t="array" ref="P488">_xlfn.IFS(Hospital_Patient[[#This Row],[Age]]&lt;=18,"Young",Hospital_Patient[[#This Row],[Age]]&lt;=36,"Adult",Hospital_Patient[[#This Row],[Age]]&lt;=60,"Middle Age",Hospital_Patient[[#This Row],[Age]]&gt;60,"Senior")</f>
        <v>Adult</v>
      </c>
      <c r="Q488" t="str" cm="1">
        <f t="array" ref="Q4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488">
        <f>YEAR(Hospital_Patient[[#This Row],[Discharge_Date]])</f>
        <v>2024</v>
      </c>
    </row>
    <row r="489" spans="1:18" hidden="1" x14ac:dyDescent="0.25">
      <c r="A489">
        <v>270</v>
      </c>
      <c r="B489">
        <v>70</v>
      </c>
      <c r="C489" t="s">
        <v>22</v>
      </c>
      <c r="D489" t="s">
        <v>30</v>
      </c>
      <c r="E489" t="s">
        <v>31</v>
      </c>
      <c r="F489" s="5">
        <v>45292</v>
      </c>
      <c r="G489" s="5">
        <v>45317</v>
      </c>
      <c r="H489" t="s">
        <v>35</v>
      </c>
      <c r="I489">
        <v>2024</v>
      </c>
      <c r="J489">
        <v>25</v>
      </c>
      <c r="K489" t="s">
        <v>21</v>
      </c>
      <c r="L489" t="s">
        <v>26</v>
      </c>
      <c r="M489">
        <v>2</v>
      </c>
      <c r="N489" t="s">
        <v>21</v>
      </c>
      <c r="O489">
        <v>10000</v>
      </c>
      <c r="P489" t="str" cm="1">
        <f t="array" ref="P489">_xlfn.IFS(Hospital_Patient[[#This Row],[Age]]&lt;=18,"Young",Hospital_Patient[[#This Row],[Age]]&lt;=36,"Adult",Hospital_Patient[[#This Row],[Age]]&lt;=60,"Middle Age",Hospital_Patient[[#This Row],[Age]]&gt;60,"Senior")</f>
        <v>Senior</v>
      </c>
      <c r="Q489" t="str" cm="1">
        <f t="array" ref="Q4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89">
        <f>YEAR(Hospital_Patient[[#This Row],[Discharge_Date]])</f>
        <v>2024</v>
      </c>
    </row>
    <row r="490" spans="1:18" hidden="1" x14ac:dyDescent="0.25">
      <c r="A490">
        <v>484</v>
      </c>
      <c r="B490">
        <v>58</v>
      </c>
      <c r="C490" t="s">
        <v>22</v>
      </c>
      <c r="D490" t="s">
        <v>52</v>
      </c>
      <c r="E490" t="s">
        <v>53</v>
      </c>
      <c r="F490" s="5">
        <v>45276</v>
      </c>
      <c r="G490" s="5">
        <v>45317</v>
      </c>
      <c r="H490" t="s">
        <v>51</v>
      </c>
      <c r="I490">
        <v>2023</v>
      </c>
      <c r="J490">
        <v>41</v>
      </c>
      <c r="K490" t="s">
        <v>19</v>
      </c>
      <c r="L490" t="s">
        <v>20</v>
      </c>
      <c r="M490">
        <v>3</v>
      </c>
      <c r="N490" t="s">
        <v>19</v>
      </c>
      <c r="O490">
        <v>20000</v>
      </c>
      <c r="P490" t="str" cm="1">
        <f t="array" ref="P490">_xlfn.IFS(Hospital_Patient[[#This Row],[Age]]&lt;=18,"Young",Hospital_Patient[[#This Row],[Age]]&lt;=36,"Adult",Hospital_Patient[[#This Row],[Age]]&lt;=60,"Middle Age",Hospital_Patient[[#This Row],[Age]]&gt;60,"Senior")</f>
        <v>Middle Age</v>
      </c>
      <c r="Q490" t="str" cm="1">
        <f t="array" ref="Q4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90">
        <f>YEAR(Hospital_Patient[[#This Row],[Discharge_Date]])</f>
        <v>2024</v>
      </c>
    </row>
    <row r="491" spans="1:18" hidden="1" x14ac:dyDescent="0.25">
      <c r="A491">
        <v>929</v>
      </c>
      <c r="B491">
        <v>55</v>
      </c>
      <c r="C491" t="s">
        <v>22</v>
      </c>
      <c r="D491" t="s">
        <v>57</v>
      </c>
      <c r="E491" t="s">
        <v>58</v>
      </c>
      <c r="F491" s="5">
        <v>45251</v>
      </c>
      <c r="G491" s="5">
        <v>45317</v>
      </c>
      <c r="H491" t="s">
        <v>77</v>
      </c>
      <c r="I491">
        <v>2023</v>
      </c>
      <c r="J491">
        <v>66</v>
      </c>
      <c r="K491" t="s">
        <v>19</v>
      </c>
      <c r="L491" t="s">
        <v>20</v>
      </c>
      <c r="M491">
        <v>3</v>
      </c>
      <c r="N491" t="s">
        <v>19</v>
      </c>
      <c r="O491">
        <v>6000</v>
      </c>
      <c r="P491" t="str" cm="1">
        <f t="array" ref="P491">_xlfn.IFS(Hospital_Patient[[#This Row],[Age]]&lt;=18,"Young",Hospital_Patient[[#This Row],[Age]]&lt;=36,"Adult",Hospital_Patient[[#This Row],[Age]]&lt;=60,"Middle Age",Hospital_Patient[[#This Row],[Age]]&gt;60,"Senior")</f>
        <v>Middle Age</v>
      </c>
      <c r="Q491" t="str" cm="1">
        <f t="array" ref="Q4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91">
        <f>YEAR(Hospital_Patient[[#This Row],[Discharge_Date]])</f>
        <v>2024</v>
      </c>
    </row>
    <row r="492" spans="1:18" x14ac:dyDescent="0.25">
      <c r="A492">
        <v>245</v>
      </c>
      <c r="B492">
        <v>78</v>
      </c>
      <c r="C492" t="s">
        <v>15</v>
      </c>
      <c r="D492" t="s">
        <v>45</v>
      </c>
      <c r="E492" t="s">
        <v>46</v>
      </c>
      <c r="F492" s="5">
        <v>45289</v>
      </c>
      <c r="G492" s="5">
        <v>45313</v>
      </c>
      <c r="H492" t="s">
        <v>65</v>
      </c>
      <c r="I492">
        <v>2023</v>
      </c>
      <c r="J492">
        <v>24</v>
      </c>
      <c r="K492" t="s">
        <v>21</v>
      </c>
      <c r="L492" t="s">
        <v>26</v>
      </c>
      <c r="M492">
        <v>2</v>
      </c>
      <c r="N492" t="s">
        <v>19</v>
      </c>
      <c r="O492">
        <v>18000</v>
      </c>
      <c r="P492" t="str" cm="1">
        <f t="array" ref="P492">_xlfn.IFS(Hospital_Patient[[#This Row],[Age]]&lt;=18,"Young",Hospital_Patient[[#This Row],[Age]]&lt;=36,"Adult",Hospital_Patient[[#This Row],[Age]]&lt;=60,"Middle Age",Hospital_Patient[[#This Row],[Age]]&gt;60,"Senior")</f>
        <v>Senior</v>
      </c>
      <c r="Q492" t="str" cm="1">
        <f t="array" ref="Q4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92">
        <f>YEAR(Hospital_Patient[[#This Row],[Discharge_Date]])</f>
        <v>2024</v>
      </c>
    </row>
    <row r="493" spans="1:18" x14ac:dyDescent="0.25">
      <c r="A493">
        <v>943</v>
      </c>
      <c r="B493">
        <v>35</v>
      </c>
      <c r="C493" t="s">
        <v>15</v>
      </c>
      <c r="D493" t="s">
        <v>54</v>
      </c>
      <c r="E493" t="s">
        <v>55</v>
      </c>
      <c r="F493" s="5">
        <v>45247</v>
      </c>
      <c r="G493" s="5">
        <v>45313</v>
      </c>
      <c r="H493" t="s">
        <v>56</v>
      </c>
      <c r="I493">
        <v>2023</v>
      </c>
      <c r="J493">
        <v>66</v>
      </c>
      <c r="K493" t="s">
        <v>19</v>
      </c>
      <c r="L493" t="s">
        <v>20</v>
      </c>
      <c r="M493">
        <v>4</v>
      </c>
      <c r="N493" t="s">
        <v>19</v>
      </c>
      <c r="O493">
        <v>12000</v>
      </c>
      <c r="P493" t="str" cm="1">
        <f t="array" ref="P493">_xlfn.IFS(Hospital_Patient[[#This Row],[Age]]&lt;=18,"Young",Hospital_Patient[[#This Row],[Age]]&lt;=36,"Adult",Hospital_Patient[[#This Row],[Age]]&lt;=60,"Middle Age",Hospital_Patient[[#This Row],[Age]]&gt;60,"Senior")</f>
        <v>Adult</v>
      </c>
      <c r="Q493" t="str" cm="1">
        <f t="array" ref="Q4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93">
        <f>YEAR(Hospital_Patient[[#This Row],[Discharge_Date]])</f>
        <v>2024</v>
      </c>
    </row>
    <row r="494" spans="1:18" x14ac:dyDescent="0.25">
      <c r="A494">
        <v>343</v>
      </c>
      <c r="B494">
        <v>35</v>
      </c>
      <c r="C494" t="s">
        <v>15</v>
      </c>
      <c r="D494" t="s">
        <v>27</v>
      </c>
      <c r="E494" t="s">
        <v>28</v>
      </c>
      <c r="F494" s="5">
        <v>45288</v>
      </c>
      <c r="G494" s="5">
        <v>45312</v>
      </c>
      <c r="H494" t="s">
        <v>70</v>
      </c>
      <c r="I494">
        <v>2023</v>
      </c>
      <c r="J494">
        <v>24</v>
      </c>
      <c r="K494" t="s">
        <v>21</v>
      </c>
      <c r="L494" t="s">
        <v>20</v>
      </c>
      <c r="M494">
        <v>5</v>
      </c>
      <c r="N494" t="s">
        <v>21</v>
      </c>
      <c r="O494">
        <v>500</v>
      </c>
      <c r="P494" t="str" cm="1">
        <f t="array" ref="P494">_xlfn.IFS(Hospital_Patient[[#This Row],[Age]]&lt;=18,"Young",Hospital_Patient[[#This Row],[Age]]&lt;=36,"Adult",Hospital_Patient[[#This Row],[Age]]&lt;=60,"Middle Age",Hospital_Patient[[#This Row],[Age]]&gt;60,"Senior")</f>
        <v>Adult</v>
      </c>
      <c r="Q494" t="str" cm="1">
        <f t="array" ref="Q4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94">
        <f>YEAR(Hospital_Patient[[#This Row],[Discharge_Date]])</f>
        <v>2024</v>
      </c>
    </row>
    <row r="495" spans="1:18" hidden="1" x14ac:dyDescent="0.25">
      <c r="A495">
        <v>607</v>
      </c>
      <c r="B495">
        <v>62</v>
      </c>
      <c r="C495" t="s">
        <v>22</v>
      </c>
      <c r="D495" t="s">
        <v>23</v>
      </c>
      <c r="E495" t="s">
        <v>24</v>
      </c>
      <c r="F495" s="5">
        <v>45268</v>
      </c>
      <c r="G495" s="5">
        <v>45312</v>
      </c>
      <c r="H495" t="s">
        <v>71</v>
      </c>
      <c r="I495">
        <v>2023</v>
      </c>
      <c r="J495">
        <v>44</v>
      </c>
      <c r="K495" t="s">
        <v>19</v>
      </c>
      <c r="L495" t="s">
        <v>26</v>
      </c>
      <c r="M495">
        <v>4</v>
      </c>
      <c r="N495" t="s">
        <v>19</v>
      </c>
      <c r="O495">
        <v>2000</v>
      </c>
      <c r="P495" t="str" cm="1">
        <f t="array" ref="P495">_xlfn.IFS(Hospital_Patient[[#This Row],[Age]]&lt;=18,"Young",Hospital_Patient[[#This Row],[Age]]&lt;=36,"Adult",Hospital_Patient[[#This Row],[Age]]&lt;=60,"Middle Age",Hospital_Patient[[#This Row],[Age]]&gt;60,"Senior")</f>
        <v>Senior</v>
      </c>
      <c r="Q495" t="str" cm="1">
        <f t="array" ref="Q4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95">
        <f>YEAR(Hospital_Patient[[#This Row],[Discharge_Date]])</f>
        <v>2024</v>
      </c>
    </row>
    <row r="496" spans="1:18" hidden="1" x14ac:dyDescent="0.25">
      <c r="A496">
        <v>868</v>
      </c>
      <c r="B496">
        <v>58</v>
      </c>
      <c r="C496" t="s">
        <v>22</v>
      </c>
      <c r="D496" t="s">
        <v>52</v>
      </c>
      <c r="E496" t="s">
        <v>53</v>
      </c>
      <c r="F496" s="5">
        <v>45245</v>
      </c>
      <c r="G496" s="5">
        <v>45312</v>
      </c>
      <c r="H496" t="s">
        <v>18</v>
      </c>
      <c r="I496">
        <v>2023</v>
      </c>
      <c r="J496">
        <v>67</v>
      </c>
      <c r="K496" t="s">
        <v>19</v>
      </c>
      <c r="L496" t="s">
        <v>20</v>
      </c>
      <c r="M496">
        <v>3</v>
      </c>
      <c r="N496" t="s">
        <v>19</v>
      </c>
      <c r="O496">
        <v>20000</v>
      </c>
      <c r="P496" t="str" cm="1">
        <f t="array" ref="P496">_xlfn.IFS(Hospital_Patient[[#This Row],[Age]]&lt;=18,"Young",Hospital_Patient[[#This Row],[Age]]&lt;=36,"Adult",Hospital_Patient[[#This Row],[Age]]&lt;=60,"Middle Age",Hospital_Patient[[#This Row],[Age]]&gt;60,"Senior")</f>
        <v>Middle Age</v>
      </c>
      <c r="Q496" t="str" cm="1">
        <f t="array" ref="Q4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496">
        <f>YEAR(Hospital_Patient[[#This Row],[Discharge_Date]])</f>
        <v>2024</v>
      </c>
    </row>
    <row r="497" spans="1:18" x14ac:dyDescent="0.25">
      <c r="A497">
        <v>669</v>
      </c>
      <c r="B497">
        <v>53</v>
      </c>
      <c r="C497" t="s">
        <v>15</v>
      </c>
      <c r="D497" t="s">
        <v>33</v>
      </c>
      <c r="E497" t="s">
        <v>34</v>
      </c>
      <c r="F497" s="5">
        <v>45256</v>
      </c>
      <c r="G497" s="5">
        <v>45311</v>
      </c>
      <c r="H497" t="s">
        <v>35</v>
      </c>
      <c r="I497">
        <v>2023</v>
      </c>
      <c r="J497">
        <v>55</v>
      </c>
      <c r="K497" t="s">
        <v>21</v>
      </c>
      <c r="L497" t="s">
        <v>20</v>
      </c>
      <c r="M497">
        <v>4</v>
      </c>
      <c r="N497" t="s">
        <v>19</v>
      </c>
      <c r="O497">
        <v>25000</v>
      </c>
      <c r="P497" t="str" cm="1">
        <f t="array" ref="P497">_xlfn.IFS(Hospital_Patient[[#This Row],[Age]]&lt;=18,"Young",Hospital_Patient[[#This Row],[Age]]&lt;=36,"Adult",Hospital_Patient[[#This Row],[Age]]&lt;=60,"Middle Age",Hospital_Patient[[#This Row],[Age]]&gt;60,"Senior")</f>
        <v>Middle Age</v>
      </c>
      <c r="Q497" t="str" cm="1">
        <f t="array" ref="Q4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97">
        <f>YEAR(Hospital_Patient[[#This Row],[Discharge_Date]])</f>
        <v>2024</v>
      </c>
    </row>
    <row r="498" spans="1:18" hidden="1" x14ac:dyDescent="0.25">
      <c r="A498">
        <v>322</v>
      </c>
      <c r="B498">
        <v>67</v>
      </c>
      <c r="C498" t="s">
        <v>22</v>
      </c>
      <c r="D498" t="s">
        <v>52</v>
      </c>
      <c r="E498" t="s">
        <v>53</v>
      </c>
      <c r="F498" s="5">
        <v>45278</v>
      </c>
      <c r="G498" s="5">
        <v>45308</v>
      </c>
      <c r="H498" t="s">
        <v>67</v>
      </c>
      <c r="I498">
        <v>2023</v>
      </c>
      <c r="J498">
        <v>30</v>
      </c>
      <c r="K498" t="s">
        <v>19</v>
      </c>
      <c r="L498" t="s">
        <v>20</v>
      </c>
      <c r="M498">
        <v>3</v>
      </c>
      <c r="N498" t="s">
        <v>19</v>
      </c>
      <c r="O498">
        <v>20000</v>
      </c>
      <c r="P498" t="str" cm="1">
        <f t="array" ref="P498">_xlfn.IFS(Hospital_Patient[[#This Row],[Age]]&lt;=18,"Young",Hospital_Patient[[#This Row],[Age]]&lt;=36,"Adult",Hospital_Patient[[#This Row],[Age]]&lt;=60,"Middle Age",Hospital_Patient[[#This Row],[Age]]&gt;60,"Senior")</f>
        <v>Senior</v>
      </c>
      <c r="Q498" t="str" cm="1">
        <f t="array" ref="Q4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498">
        <f>YEAR(Hospital_Patient[[#This Row],[Discharge_Date]])</f>
        <v>2024</v>
      </c>
    </row>
    <row r="499" spans="1:18" hidden="1" x14ac:dyDescent="0.25">
      <c r="A499">
        <v>425</v>
      </c>
      <c r="B499">
        <v>58</v>
      </c>
      <c r="C499" t="s">
        <v>22</v>
      </c>
      <c r="D499" t="s">
        <v>52</v>
      </c>
      <c r="E499" t="s">
        <v>53</v>
      </c>
      <c r="F499" s="5">
        <v>45269</v>
      </c>
      <c r="G499" s="5">
        <v>45306</v>
      </c>
      <c r="H499" t="s">
        <v>51</v>
      </c>
      <c r="I499">
        <v>2023</v>
      </c>
      <c r="J499">
        <v>37</v>
      </c>
      <c r="K499" t="s">
        <v>19</v>
      </c>
      <c r="L499" t="s">
        <v>20</v>
      </c>
      <c r="M499">
        <v>3</v>
      </c>
      <c r="N499" t="s">
        <v>19</v>
      </c>
      <c r="O499">
        <v>20000</v>
      </c>
      <c r="P499" t="str" cm="1">
        <f t="array" ref="P499">_xlfn.IFS(Hospital_Patient[[#This Row],[Age]]&lt;=18,"Young",Hospital_Patient[[#This Row],[Age]]&lt;=36,"Adult",Hospital_Patient[[#This Row],[Age]]&lt;=60,"Middle Age",Hospital_Patient[[#This Row],[Age]]&gt;60,"Senior")</f>
        <v>Middle Age</v>
      </c>
      <c r="Q499" t="str" cm="1">
        <f t="array" ref="Q4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499">
        <f>YEAR(Hospital_Patient[[#This Row],[Discharge_Date]])</f>
        <v>2024</v>
      </c>
    </row>
    <row r="500" spans="1:18" x14ac:dyDescent="0.25">
      <c r="A500">
        <v>739</v>
      </c>
      <c r="B500">
        <v>48</v>
      </c>
      <c r="C500" t="s">
        <v>15</v>
      </c>
      <c r="D500" t="s">
        <v>16</v>
      </c>
      <c r="E500" t="s">
        <v>17</v>
      </c>
      <c r="F500" s="5">
        <v>45251</v>
      </c>
      <c r="G500" s="5">
        <v>45306</v>
      </c>
      <c r="H500" t="s">
        <v>18</v>
      </c>
      <c r="I500">
        <v>2023</v>
      </c>
      <c r="J500">
        <v>55</v>
      </c>
      <c r="K500" t="s">
        <v>21</v>
      </c>
      <c r="L500" t="s">
        <v>20</v>
      </c>
      <c r="M500">
        <v>4</v>
      </c>
      <c r="N500" t="s">
        <v>19</v>
      </c>
      <c r="O500">
        <v>15000</v>
      </c>
      <c r="P500" t="str" cm="1">
        <f t="array" ref="P500">_xlfn.IFS(Hospital_Patient[[#This Row],[Age]]&lt;=18,"Young",Hospital_Patient[[#This Row],[Age]]&lt;=36,"Adult",Hospital_Patient[[#This Row],[Age]]&lt;=60,"Middle Age",Hospital_Patient[[#This Row],[Age]]&gt;60,"Senior")</f>
        <v>Middle Age</v>
      </c>
      <c r="Q500" t="str" cm="1">
        <f t="array" ref="Q5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0">
        <f>YEAR(Hospital_Patient[[#This Row],[Discharge_Date]])</f>
        <v>2024</v>
      </c>
    </row>
    <row r="501" spans="1:18" hidden="1" x14ac:dyDescent="0.25">
      <c r="A501">
        <v>845</v>
      </c>
      <c r="B501">
        <v>78</v>
      </c>
      <c r="C501" t="s">
        <v>22</v>
      </c>
      <c r="D501" t="s">
        <v>30</v>
      </c>
      <c r="E501" t="s">
        <v>31</v>
      </c>
      <c r="F501" s="5">
        <v>45240</v>
      </c>
      <c r="G501" s="5">
        <v>45305</v>
      </c>
      <c r="H501" t="s">
        <v>63</v>
      </c>
      <c r="I501">
        <v>2023</v>
      </c>
      <c r="J501">
        <v>65</v>
      </c>
      <c r="K501" t="s">
        <v>19</v>
      </c>
      <c r="L501" t="s">
        <v>26</v>
      </c>
      <c r="M501">
        <v>2</v>
      </c>
      <c r="N501" t="s">
        <v>19</v>
      </c>
      <c r="O501">
        <v>10000</v>
      </c>
      <c r="P501" t="str" cm="1">
        <f t="array" ref="P501">_xlfn.IFS(Hospital_Patient[[#This Row],[Age]]&lt;=18,"Young",Hospital_Patient[[#This Row],[Age]]&lt;=36,"Adult",Hospital_Patient[[#This Row],[Age]]&lt;=60,"Middle Age",Hospital_Patient[[#This Row],[Age]]&gt;60,"Senior")</f>
        <v>Senior</v>
      </c>
      <c r="Q501" t="str" cm="1">
        <f t="array" ref="Q5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01">
        <f>YEAR(Hospital_Patient[[#This Row],[Discharge_Date]])</f>
        <v>2024</v>
      </c>
    </row>
    <row r="502" spans="1:18" hidden="1" x14ac:dyDescent="0.25">
      <c r="A502">
        <v>4</v>
      </c>
      <c r="B502">
        <v>75</v>
      </c>
      <c r="C502" t="s">
        <v>22</v>
      </c>
      <c r="D502" t="s">
        <v>30</v>
      </c>
      <c r="E502" t="s">
        <v>31</v>
      </c>
      <c r="F502" s="5">
        <v>45290</v>
      </c>
      <c r="G502" s="5">
        <v>45297</v>
      </c>
      <c r="H502" t="s">
        <v>32</v>
      </c>
      <c r="I502">
        <v>2023</v>
      </c>
      <c r="J502">
        <v>7</v>
      </c>
      <c r="K502" t="s">
        <v>21</v>
      </c>
      <c r="L502" t="s">
        <v>26</v>
      </c>
      <c r="M502">
        <v>2</v>
      </c>
      <c r="N502" t="s">
        <v>19</v>
      </c>
      <c r="O502">
        <v>10000</v>
      </c>
      <c r="P502" t="str" cm="1">
        <f t="array" ref="P502">_xlfn.IFS(Hospital_Patient[[#This Row],[Age]]&lt;=18,"Young",Hospital_Patient[[#This Row],[Age]]&lt;=36,"Adult",Hospital_Patient[[#This Row],[Age]]&lt;=60,"Middle Age",Hospital_Patient[[#This Row],[Age]]&gt;60,"Senior")</f>
        <v>Senior</v>
      </c>
      <c r="Q502" t="str" cm="1">
        <f t="array" ref="Q5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02">
        <f>YEAR(Hospital_Patient[[#This Row],[Discharge_Date]])</f>
        <v>2024</v>
      </c>
    </row>
    <row r="503" spans="1:18" x14ac:dyDescent="0.25">
      <c r="A503">
        <v>414</v>
      </c>
      <c r="B503">
        <v>48</v>
      </c>
      <c r="C503" t="s">
        <v>15</v>
      </c>
      <c r="D503" t="s">
        <v>16</v>
      </c>
      <c r="E503" t="s">
        <v>17</v>
      </c>
      <c r="F503" s="5">
        <v>45262</v>
      </c>
      <c r="G503" s="5">
        <v>45295</v>
      </c>
      <c r="H503" t="s">
        <v>69</v>
      </c>
      <c r="I503">
        <v>2023</v>
      </c>
      <c r="J503">
        <v>33</v>
      </c>
      <c r="K503" t="s">
        <v>21</v>
      </c>
      <c r="L503" t="s">
        <v>20</v>
      </c>
      <c r="M503">
        <v>4</v>
      </c>
      <c r="N503" t="s">
        <v>19</v>
      </c>
      <c r="O503">
        <v>15000</v>
      </c>
      <c r="P503" t="str" cm="1">
        <f t="array" ref="P503">_xlfn.IFS(Hospital_Patient[[#This Row],[Age]]&lt;=18,"Young",Hospital_Patient[[#This Row],[Age]]&lt;=36,"Adult",Hospital_Patient[[#This Row],[Age]]&lt;=60,"Middle Age",Hospital_Patient[[#This Row],[Age]]&gt;60,"Senior")</f>
        <v>Middle Age</v>
      </c>
      <c r="Q503" t="str" cm="1">
        <f t="array" ref="Q5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3">
        <f>YEAR(Hospital_Patient[[#This Row],[Discharge_Date]])</f>
        <v>2024</v>
      </c>
    </row>
    <row r="504" spans="1:18" x14ac:dyDescent="0.25">
      <c r="A504">
        <v>715</v>
      </c>
      <c r="B504">
        <v>45</v>
      </c>
      <c r="C504" t="s">
        <v>15</v>
      </c>
      <c r="D504" t="s">
        <v>39</v>
      </c>
      <c r="E504" t="s">
        <v>40</v>
      </c>
      <c r="F504" s="5">
        <v>45241</v>
      </c>
      <c r="G504" s="5">
        <v>45295</v>
      </c>
      <c r="H504" t="s">
        <v>73</v>
      </c>
      <c r="I504">
        <v>2023</v>
      </c>
      <c r="J504">
        <v>54</v>
      </c>
      <c r="K504" t="s">
        <v>19</v>
      </c>
      <c r="L504" t="s">
        <v>20</v>
      </c>
      <c r="M504">
        <v>3</v>
      </c>
      <c r="N504" t="s">
        <v>21</v>
      </c>
      <c r="O504">
        <v>8000</v>
      </c>
      <c r="P504" t="str" cm="1">
        <f t="array" ref="P504">_xlfn.IFS(Hospital_Patient[[#This Row],[Age]]&lt;=18,"Young",Hospital_Patient[[#This Row],[Age]]&lt;=36,"Adult",Hospital_Patient[[#This Row],[Age]]&lt;=60,"Middle Age",Hospital_Patient[[#This Row],[Age]]&gt;60,"Senior")</f>
        <v>Middle Age</v>
      </c>
      <c r="Q504" t="str" cm="1">
        <f t="array" ref="Q5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4">
        <f>YEAR(Hospital_Patient[[#This Row],[Discharge_Date]])</f>
        <v>2024</v>
      </c>
    </row>
    <row r="505" spans="1:18" x14ac:dyDescent="0.25">
      <c r="A505">
        <v>631</v>
      </c>
      <c r="B505">
        <v>52</v>
      </c>
      <c r="C505" t="s">
        <v>15</v>
      </c>
      <c r="D505" t="s">
        <v>49</v>
      </c>
      <c r="E505" t="s">
        <v>50</v>
      </c>
      <c r="F505" s="5">
        <v>45250</v>
      </c>
      <c r="G505" s="5">
        <v>45294</v>
      </c>
      <c r="H505" t="s">
        <v>64</v>
      </c>
      <c r="I505">
        <v>2023</v>
      </c>
      <c r="J505">
        <v>44</v>
      </c>
      <c r="K505" t="s">
        <v>19</v>
      </c>
      <c r="L505" t="s">
        <v>26</v>
      </c>
      <c r="M505">
        <v>4</v>
      </c>
      <c r="N505" t="s">
        <v>21</v>
      </c>
      <c r="O505">
        <v>800</v>
      </c>
      <c r="P505" t="str" cm="1">
        <f t="array" ref="P505">_xlfn.IFS(Hospital_Patient[[#This Row],[Age]]&lt;=18,"Young",Hospital_Patient[[#This Row],[Age]]&lt;=36,"Adult",Hospital_Patient[[#This Row],[Age]]&lt;=60,"Middle Age",Hospital_Patient[[#This Row],[Age]]&gt;60,"Senior")</f>
        <v>Middle Age</v>
      </c>
      <c r="Q505" t="str" cm="1">
        <f t="array" ref="Q5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5">
        <f>YEAR(Hospital_Patient[[#This Row],[Discharge_Date]])</f>
        <v>2024</v>
      </c>
    </row>
    <row r="506" spans="1:18" hidden="1" x14ac:dyDescent="0.25">
      <c r="A506">
        <v>128</v>
      </c>
      <c r="B506">
        <v>25</v>
      </c>
      <c r="C506" t="s">
        <v>22</v>
      </c>
      <c r="D506" t="s">
        <v>47</v>
      </c>
      <c r="E506" t="s">
        <v>48</v>
      </c>
      <c r="F506" s="5">
        <v>45277</v>
      </c>
      <c r="G506" s="5">
        <v>45286</v>
      </c>
      <c r="H506" t="s">
        <v>18</v>
      </c>
      <c r="I506">
        <v>2023</v>
      </c>
      <c r="J506">
        <v>9</v>
      </c>
      <c r="K506" t="s">
        <v>19</v>
      </c>
      <c r="L506" t="s">
        <v>20</v>
      </c>
      <c r="M506">
        <v>5</v>
      </c>
      <c r="N506" t="s">
        <v>21</v>
      </c>
      <c r="O506">
        <v>100</v>
      </c>
      <c r="P506" t="str" cm="1">
        <f t="array" ref="P506">_xlfn.IFS(Hospital_Patient[[#This Row],[Age]]&lt;=18,"Young",Hospital_Patient[[#This Row],[Age]]&lt;=36,"Adult",Hospital_Patient[[#This Row],[Age]]&lt;=60,"Middle Age",Hospital_Patient[[#This Row],[Age]]&gt;60,"Senior")</f>
        <v>Adult</v>
      </c>
      <c r="Q506" t="str" cm="1">
        <f t="array" ref="Q5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06">
        <f>YEAR(Hospital_Patient[[#This Row],[Discharge_Date]])</f>
        <v>2023</v>
      </c>
    </row>
    <row r="507" spans="1:18" x14ac:dyDescent="0.25">
      <c r="A507">
        <v>408</v>
      </c>
      <c r="B507">
        <v>75</v>
      </c>
      <c r="C507" t="s">
        <v>15</v>
      </c>
      <c r="D507" t="s">
        <v>45</v>
      </c>
      <c r="E507" t="s">
        <v>46</v>
      </c>
      <c r="F507" s="5">
        <v>45251</v>
      </c>
      <c r="G507" s="5">
        <v>45286</v>
      </c>
      <c r="H507" t="s">
        <v>65</v>
      </c>
      <c r="I507">
        <v>2023</v>
      </c>
      <c r="J507">
        <v>35</v>
      </c>
      <c r="K507" t="s">
        <v>21</v>
      </c>
      <c r="L507" t="s">
        <v>26</v>
      </c>
      <c r="M507">
        <v>2</v>
      </c>
      <c r="N507" t="s">
        <v>21</v>
      </c>
      <c r="O507">
        <v>18000</v>
      </c>
      <c r="P507" t="str" cm="1">
        <f t="array" ref="P507">_xlfn.IFS(Hospital_Patient[[#This Row],[Age]]&lt;=18,"Young",Hospital_Patient[[#This Row],[Age]]&lt;=36,"Adult",Hospital_Patient[[#This Row],[Age]]&lt;=60,"Middle Age",Hospital_Patient[[#This Row],[Age]]&gt;60,"Senior")</f>
        <v>Senior</v>
      </c>
      <c r="Q507" t="str" cm="1">
        <f t="array" ref="Q5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7">
        <f>YEAR(Hospital_Patient[[#This Row],[Discharge_Date]])</f>
        <v>2023</v>
      </c>
    </row>
    <row r="508" spans="1:18" x14ac:dyDescent="0.25">
      <c r="A508">
        <v>707</v>
      </c>
      <c r="B508">
        <v>35</v>
      </c>
      <c r="C508" t="s">
        <v>15</v>
      </c>
      <c r="D508" t="s">
        <v>54</v>
      </c>
      <c r="E508" t="s">
        <v>55</v>
      </c>
      <c r="F508" s="5">
        <v>45235</v>
      </c>
      <c r="G508" s="5">
        <v>45285</v>
      </c>
      <c r="H508" t="s">
        <v>68</v>
      </c>
      <c r="I508">
        <v>2023</v>
      </c>
      <c r="J508">
        <v>50</v>
      </c>
      <c r="K508" t="s">
        <v>19</v>
      </c>
      <c r="L508" t="s">
        <v>20</v>
      </c>
      <c r="M508">
        <v>4</v>
      </c>
      <c r="N508" t="s">
        <v>19</v>
      </c>
      <c r="O508">
        <v>12000</v>
      </c>
      <c r="P508" t="str" cm="1">
        <f t="array" ref="P508">_xlfn.IFS(Hospital_Patient[[#This Row],[Age]]&lt;=18,"Young",Hospital_Patient[[#This Row],[Age]]&lt;=36,"Adult",Hospital_Patient[[#This Row],[Age]]&lt;=60,"Middle Age",Hospital_Patient[[#This Row],[Age]]&gt;60,"Senior")</f>
        <v>Adult</v>
      </c>
      <c r="Q508" t="str" cm="1">
        <f t="array" ref="Q5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08">
        <f>YEAR(Hospital_Patient[[#This Row],[Discharge_Date]])</f>
        <v>2023</v>
      </c>
    </row>
    <row r="509" spans="1:18" x14ac:dyDescent="0.25">
      <c r="A509">
        <v>905</v>
      </c>
      <c r="B509">
        <v>53</v>
      </c>
      <c r="C509" t="s">
        <v>15</v>
      </c>
      <c r="D509" t="s">
        <v>33</v>
      </c>
      <c r="E509" t="s">
        <v>34</v>
      </c>
      <c r="F509" s="5">
        <v>45214</v>
      </c>
      <c r="G509" s="5">
        <v>45285</v>
      </c>
      <c r="H509" t="s">
        <v>64</v>
      </c>
      <c r="I509">
        <v>2023</v>
      </c>
      <c r="J509">
        <v>71</v>
      </c>
      <c r="K509" t="s">
        <v>21</v>
      </c>
      <c r="L509" t="s">
        <v>20</v>
      </c>
      <c r="M509">
        <v>4</v>
      </c>
      <c r="N509" t="s">
        <v>19</v>
      </c>
      <c r="O509">
        <v>25000</v>
      </c>
      <c r="P509" t="str" cm="1">
        <f t="array" ref="P509">_xlfn.IFS(Hospital_Patient[[#This Row],[Age]]&lt;=18,"Young",Hospital_Patient[[#This Row],[Age]]&lt;=36,"Adult",Hospital_Patient[[#This Row],[Age]]&lt;=60,"Middle Age",Hospital_Patient[[#This Row],[Age]]&gt;60,"Senior")</f>
        <v>Middle Age</v>
      </c>
      <c r="Q509" t="str" cm="1">
        <f t="array" ref="Q5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09">
        <f>YEAR(Hospital_Patient[[#This Row],[Discharge_Date]])</f>
        <v>2023</v>
      </c>
    </row>
    <row r="510" spans="1:18" hidden="1" x14ac:dyDescent="0.25">
      <c r="A510">
        <v>353</v>
      </c>
      <c r="B510">
        <v>50</v>
      </c>
      <c r="C510" t="s">
        <v>22</v>
      </c>
      <c r="D510" t="s">
        <v>57</v>
      </c>
      <c r="E510" t="s">
        <v>58</v>
      </c>
      <c r="F510" s="5">
        <v>45256</v>
      </c>
      <c r="G510" s="5">
        <v>45283</v>
      </c>
      <c r="H510" t="s">
        <v>51</v>
      </c>
      <c r="I510">
        <v>2023</v>
      </c>
      <c r="J510">
        <v>27</v>
      </c>
      <c r="K510" t="s">
        <v>19</v>
      </c>
      <c r="L510" t="s">
        <v>20</v>
      </c>
      <c r="M510">
        <v>3</v>
      </c>
      <c r="N510" t="s">
        <v>19</v>
      </c>
      <c r="O510">
        <v>6000</v>
      </c>
      <c r="P510" t="str" cm="1">
        <f t="array" ref="P510">_xlfn.IFS(Hospital_Patient[[#This Row],[Age]]&lt;=18,"Young",Hospital_Patient[[#This Row],[Age]]&lt;=36,"Adult",Hospital_Patient[[#This Row],[Age]]&lt;=60,"Middle Age",Hospital_Patient[[#This Row],[Age]]&gt;60,"Senior")</f>
        <v>Middle Age</v>
      </c>
      <c r="Q510" t="str" cm="1">
        <f t="array" ref="Q5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10">
        <f>YEAR(Hospital_Patient[[#This Row],[Discharge_Date]])</f>
        <v>2023</v>
      </c>
    </row>
    <row r="511" spans="1:18" x14ac:dyDescent="0.25">
      <c r="A511">
        <v>766</v>
      </c>
      <c r="B511">
        <v>35</v>
      </c>
      <c r="C511" t="s">
        <v>15</v>
      </c>
      <c r="D511" t="s">
        <v>54</v>
      </c>
      <c r="E511" t="s">
        <v>55</v>
      </c>
      <c r="F511" s="5">
        <v>45229</v>
      </c>
      <c r="G511" s="5">
        <v>45283</v>
      </c>
      <c r="H511" t="s">
        <v>56</v>
      </c>
      <c r="I511">
        <v>2023</v>
      </c>
      <c r="J511">
        <v>54</v>
      </c>
      <c r="K511" t="s">
        <v>19</v>
      </c>
      <c r="L511" t="s">
        <v>20</v>
      </c>
      <c r="M511">
        <v>4</v>
      </c>
      <c r="N511" t="s">
        <v>19</v>
      </c>
      <c r="O511">
        <v>12000</v>
      </c>
      <c r="P511" t="str" cm="1">
        <f t="array" ref="P511">_xlfn.IFS(Hospital_Patient[[#This Row],[Age]]&lt;=18,"Young",Hospital_Patient[[#This Row],[Age]]&lt;=36,"Adult",Hospital_Patient[[#This Row],[Age]]&lt;=60,"Middle Age",Hospital_Patient[[#This Row],[Age]]&gt;60,"Senior")</f>
        <v>Adult</v>
      </c>
      <c r="Q511" t="str" cm="1">
        <f t="array" ref="Q5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1">
        <f>YEAR(Hospital_Patient[[#This Row],[Discharge_Date]])</f>
        <v>2023</v>
      </c>
    </row>
    <row r="512" spans="1:18" hidden="1" x14ac:dyDescent="0.25">
      <c r="A512">
        <v>796</v>
      </c>
      <c r="B512">
        <v>50</v>
      </c>
      <c r="C512" t="s">
        <v>22</v>
      </c>
      <c r="D512" t="s">
        <v>57</v>
      </c>
      <c r="E512" t="s">
        <v>58</v>
      </c>
      <c r="F512" s="5">
        <v>45226</v>
      </c>
      <c r="G512" s="5">
        <v>45283</v>
      </c>
      <c r="H512" t="s">
        <v>77</v>
      </c>
      <c r="I512">
        <v>2023</v>
      </c>
      <c r="J512">
        <v>57</v>
      </c>
      <c r="K512" t="s">
        <v>19</v>
      </c>
      <c r="L512" t="s">
        <v>20</v>
      </c>
      <c r="M512">
        <v>3</v>
      </c>
      <c r="N512" t="s">
        <v>19</v>
      </c>
      <c r="O512">
        <v>6000</v>
      </c>
      <c r="P512" t="str" cm="1">
        <f t="array" ref="P512">_xlfn.IFS(Hospital_Patient[[#This Row],[Age]]&lt;=18,"Young",Hospital_Patient[[#This Row],[Age]]&lt;=36,"Adult",Hospital_Patient[[#This Row],[Age]]&lt;=60,"Middle Age",Hospital_Patient[[#This Row],[Age]]&gt;60,"Senior")</f>
        <v>Middle Age</v>
      </c>
      <c r="Q512" t="str" cm="1">
        <f t="array" ref="Q5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2">
        <f>YEAR(Hospital_Patient[[#This Row],[Discharge_Date]])</f>
        <v>2023</v>
      </c>
    </row>
    <row r="513" spans="1:18" hidden="1" x14ac:dyDescent="0.25">
      <c r="A513">
        <v>759</v>
      </c>
      <c r="B513">
        <v>72</v>
      </c>
      <c r="C513" t="s">
        <v>22</v>
      </c>
      <c r="D513" t="s">
        <v>36</v>
      </c>
      <c r="E513" t="s">
        <v>37</v>
      </c>
      <c r="F513" s="5">
        <v>45223</v>
      </c>
      <c r="G513" s="5">
        <v>45278</v>
      </c>
      <c r="H513" t="s">
        <v>25</v>
      </c>
      <c r="I513">
        <v>2023</v>
      </c>
      <c r="J513">
        <v>55</v>
      </c>
      <c r="K513" t="s">
        <v>19</v>
      </c>
      <c r="L513" t="s">
        <v>26</v>
      </c>
      <c r="M513">
        <v>4</v>
      </c>
      <c r="N513" t="s">
        <v>19</v>
      </c>
      <c r="O513">
        <v>1000</v>
      </c>
      <c r="P513" t="str" cm="1">
        <f t="array" ref="P513">_xlfn.IFS(Hospital_Patient[[#This Row],[Age]]&lt;=18,"Young",Hospital_Patient[[#This Row],[Age]]&lt;=36,"Adult",Hospital_Patient[[#This Row],[Age]]&lt;=60,"Middle Age",Hospital_Patient[[#This Row],[Age]]&gt;60,"Senior")</f>
        <v>Senior</v>
      </c>
      <c r="Q513" t="str" cm="1">
        <f t="array" ref="Q5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3">
        <f>YEAR(Hospital_Patient[[#This Row],[Discharge_Date]])</f>
        <v>2023</v>
      </c>
    </row>
    <row r="514" spans="1:18" x14ac:dyDescent="0.25">
      <c r="A514">
        <v>7</v>
      </c>
      <c r="B514">
        <v>55</v>
      </c>
      <c r="C514" t="s">
        <v>15</v>
      </c>
      <c r="D514" t="s">
        <v>39</v>
      </c>
      <c r="E514" t="s">
        <v>40</v>
      </c>
      <c r="F514" s="5">
        <v>45273</v>
      </c>
      <c r="G514" s="5">
        <v>45277</v>
      </c>
      <c r="H514" t="s">
        <v>41</v>
      </c>
      <c r="I514">
        <v>2023</v>
      </c>
      <c r="J514">
        <v>4</v>
      </c>
      <c r="K514" t="s">
        <v>19</v>
      </c>
      <c r="L514" t="s">
        <v>20</v>
      </c>
      <c r="M514">
        <v>3</v>
      </c>
      <c r="N514" t="s">
        <v>19</v>
      </c>
      <c r="O514">
        <v>8000</v>
      </c>
      <c r="P514" t="str" cm="1">
        <f t="array" ref="P514">_xlfn.IFS(Hospital_Patient[[#This Row],[Age]]&lt;=18,"Young",Hospital_Patient[[#This Row],[Age]]&lt;=36,"Adult",Hospital_Patient[[#This Row],[Age]]&lt;=60,"Middle Age",Hospital_Patient[[#This Row],[Age]]&gt;60,"Senior")</f>
        <v>Middle Age</v>
      </c>
      <c r="Q514" t="str" cm="1">
        <f t="array" ref="Q5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14">
        <f>YEAR(Hospital_Patient[[#This Row],[Discharge_Date]])</f>
        <v>2023</v>
      </c>
    </row>
    <row r="515" spans="1:18" x14ac:dyDescent="0.25">
      <c r="A515">
        <v>837</v>
      </c>
      <c r="B515">
        <v>52</v>
      </c>
      <c r="C515" t="s">
        <v>15</v>
      </c>
      <c r="D515" t="s">
        <v>49</v>
      </c>
      <c r="E515" t="s">
        <v>50</v>
      </c>
      <c r="F515" s="5">
        <v>45219</v>
      </c>
      <c r="G515" s="5">
        <v>45277</v>
      </c>
      <c r="H515" t="s">
        <v>64</v>
      </c>
      <c r="I515">
        <v>2023</v>
      </c>
      <c r="J515">
        <v>58</v>
      </c>
      <c r="K515" t="s">
        <v>19</v>
      </c>
      <c r="L515" t="s">
        <v>26</v>
      </c>
      <c r="M515">
        <v>4</v>
      </c>
      <c r="N515" t="s">
        <v>19</v>
      </c>
      <c r="O515">
        <v>800</v>
      </c>
      <c r="P515" t="str" cm="1">
        <f t="array" ref="P515">_xlfn.IFS(Hospital_Patient[[#This Row],[Age]]&lt;=18,"Young",Hospital_Patient[[#This Row],[Age]]&lt;=36,"Adult",Hospital_Patient[[#This Row],[Age]]&lt;=60,"Middle Age",Hospital_Patient[[#This Row],[Age]]&gt;60,"Senior")</f>
        <v>Middle Age</v>
      </c>
      <c r="Q515" t="str" cm="1">
        <f t="array" ref="Q5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5">
        <f>YEAR(Hospital_Patient[[#This Row],[Discharge_Date]])</f>
        <v>2023</v>
      </c>
    </row>
    <row r="516" spans="1:18" x14ac:dyDescent="0.25">
      <c r="A516">
        <v>734</v>
      </c>
      <c r="B516">
        <v>52</v>
      </c>
      <c r="C516" t="s">
        <v>15</v>
      </c>
      <c r="D516" t="s">
        <v>49</v>
      </c>
      <c r="E516" t="s">
        <v>50</v>
      </c>
      <c r="F516" s="5">
        <v>45223</v>
      </c>
      <c r="G516" s="5">
        <v>45274</v>
      </c>
      <c r="H516" t="s">
        <v>51</v>
      </c>
      <c r="I516">
        <v>2023</v>
      </c>
      <c r="J516">
        <v>51</v>
      </c>
      <c r="K516" t="s">
        <v>19</v>
      </c>
      <c r="L516" t="s">
        <v>26</v>
      </c>
      <c r="M516">
        <v>4</v>
      </c>
      <c r="N516" t="s">
        <v>21</v>
      </c>
      <c r="O516">
        <v>800</v>
      </c>
      <c r="P516" t="str" cm="1">
        <f t="array" ref="P516">_xlfn.IFS(Hospital_Patient[[#This Row],[Age]]&lt;=18,"Young",Hospital_Patient[[#This Row],[Age]]&lt;=36,"Adult",Hospital_Patient[[#This Row],[Age]]&lt;=60,"Middle Age",Hospital_Patient[[#This Row],[Age]]&gt;60,"Senior")</f>
        <v>Middle Age</v>
      </c>
      <c r="Q516" t="str" cm="1">
        <f t="array" ref="Q5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6">
        <f>YEAR(Hospital_Patient[[#This Row],[Discharge_Date]])</f>
        <v>2023</v>
      </c>
    </row>
    <row r="517" spans="1:18" x14ac:dyDescent="0.25">
      <c r="A517">
        <v>730</v>
      </c>
      <c r="B517">
        <v>60</v>
      </c>
      <c r="C517" t="s">
        <v>15</v>
      </c>
      <c r="D517" t="s">
        <v>39</v>
      </c>
      <c r="E517" t="s">
        <v>40</v>
      </c>
      <c r="F517" s="5">
        <v>45218</v>
      </c>
      <c r="G517" s="5">
        <v>45273</v>
      </c>
      <c r="H517" t="s">
        <v>41</v>
      </c>
      <c r="I517">
        <v>2023</v>
      </c>
      <c r="J517">
        <v>55</v>
      </c>
      <c r="K517" t="s">
        <v>21</v>
      </c>
      <c r="L517" t="s">
        <v>20</v>
      </c>
      <c r="M517">
        <v>3</v>
      </c>
      <c r="N517" t="s">
        <v>21</v>
      </c>
      <c r="O517">
        <v>8000</v>
      </c>
      <c r="P517" t="str" cm="1">
        <f t="array" ref="P517">_xlfn.IFS(Hospital_Patient[[#This Row],[Age]]&lt;=18,"Young",Hospital_Patient[[#This Row],[Age]]&lt;=36,"Adult",Hospital_Patient[[#This Row],[Age]]&lt;=60,"Middle Age",Hospital_Patient[[#This Row],[Age]]&gt;60,"Senior")</f>
        <v>Middle Age</v>
      </c>
      <c r="Q517" t="str" cm="1">
        <f t="array" ref="Q5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7">
        <f>YEAR(Hospital_Patient[[#This Row],[Discharge_Date]])</f>
        <v>2023</v>
      </c>
    </row>
    <row r="518" spans="1:18" x14ac:dyDescent="0.25">
      <c r="A518">
        <v>291</v>
      </c>
      <c r="B518">
        <v>52</v>
      </c>
      <c r="C518" t="s">
        <v>15</v>
      </c>
      <c r="D518" t="s">
        <v>49</v>
      </c>
      <c r="E518" t="s">
        <v>50</v>
      </c>
      <c r="F518" s="5">
        <v>45249</v>
      </c>
      <c r="G518" s="5">
        <v>45270</v>
      </c>
      <c r="H518" t="s">
        <v>51</v>
      </c>
      <c r="I518">
        <v>2023</v>
      </c>
      <c r="J518">
        <v>21</v>
      </c>
      <c r="K518" t="s">
        <v>19</v>
      </c>
      <c r="L518" t="s">
        <v>26</v>
      </c>
      <c r="M518">
        <v>4</v>
      </c>
      <c r="N518" t="s">
        <v>21</v>
      </c>
      <c r="O518">
        <v>800</v>
      </c>
      <c r="P518" t="str" cm="1">
        <f t="array" ref="P518">_xlfn.IFS(Hospital_Patient[[#This Row],[Age]]&lt;=18,"Young",Hospital_Patient[[#This Row],[Age]]&lt;=36,"Adult",Hospital_Patient[[#This Row],[Age]]&lt;=60,"Middle Age",Hospital_Patient[[#This Row],[Age]]&gt;60,"Senior")</f>
        <v>Middle Age</v>
      </c>
      <c r="Q518" t="str" cm="1">
        <f t="array" ref="Q5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18">
        <f>YEAR(Hospital_Patient[[#This Row],[Discharge_Date]])</f>
        <v>2023</v>
      </c>
    </row>
    <row r="519" spans="1:18" hidden="1" x14ac:dyDescent="0.25">
      <c r="A519">
        <v>525</v>
      </c>
      <c r="B519">
        <v>45</v>
      </c>
      <c r="C519" t="s">
        <v>22</v>
      </c>
      <c r="D519" t="s">
        <v>42</v>
      </c>
      <c r="E519" t="s">
        <v>43</v>
      </c>
      <c r="F519" s="5">
        <v>45229</v>
      </c>
      <c r="G519" s="5">
        <v>45270</v>
      </c>
      <c r="H519" t="s">
        <v>71</v>
      </c>
      <c r="I519">
        <v>2023</v>
      </c>
      <c r="J519">
        <v>41</v>
      </c>
      <c r="K519" t="s">
        <v>19</v>
      </c>
      <c r="L519" t="s">
        <v>20</v>
      </c>
      <c r="M519">
        <v>4</v>
      </c>
      <c r="N519" t="s">
        <v>21</v>
      </c>
      <c r="O519">
        <v>3000</v>
      </c>
      <c r="P519" t="str" cm="1">
        <f t="array" ref="P519">_xlfn.IFS(Hospital_Patient[[#This Row],[Age]]&lt;=18,"Young",Hospital_Patient[[#This Row],[Age]]&lt;=36,"Adult",Hospital_Patient[[#This Row],[Age]]&lt;=60,"Middle Age",Hospital_Patient[[#This Row],[Age]]&gt;60,"Senior")</f>
        <v>Middle Age</v>
      </c>
      <c r="Q519" t="str" cm="1">
        <f t="array" ref="Q5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19">
        <f>YEAR(Hospital_Patient[[#This Row],[Discharge_Date]])</f>
        <v>2023</v>
      </c>
    </row>
    <row r="520" spans="1:18" hidden="1" x14ac:dyDescent="0.25">
      <c r="A520">
        <v>388</v>
      </c>
      <c r="B520">
        <v>70</v>
      </c>
      <c r="C520" t="s">
        <v>22</v>
      </c>
      <c r="D520" t="s">
        <v>30</v>
      </c>
      <c r="E520" t="s">
        <v>31</v>
      </c>
      <c r="F520" s="5">
        <v>45234</v>
      </c>
      <c r="G520" s="5">
        <v>45268</v>
      </c>
      <c r="H520" t="s">
        <v>32</v>
      </c>
      <c r="I520">
        <v>2023</v>
      </c>
      <c r="J520">
        <v>34</v>
      </c>
      <c r="K520" t="s">
        <v>21</v>
      </c>
      <c r="L520" t="s">
        <v>26</v>
      </c>
      <c r="M520">
        <v>2</v>
      </c>
      <c r="N520" t="s">
        <v>19</v>
      </c>
      <c r="O520">
        <v>10000</v>
      </c>
      <c r="P520" t="str" cm="1">
        <f t="array" ref="P520">_xlfn.IFS(Hospital_Patient[[#This Row],[Age]]&lt;=18,"Young",Hospital_Patient[[#This Row],[Age]]&lt;=36,"Adult",Hospital_Patient[[#This Row],[Age]]&lt;=60,"Middle Age",Hospital_Patient[[#This Row],[Age]]&gt;60,"Senior")</f>
        <v>Senior</v>
      </c>
      <c r="Q520" t="str" cm="1">
        <f t="array" ref="Q5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20">
        <f>YEAR(Hospital_Patient[[#This Row],[Discharge_Date]])</f>
        <v>2023</v>
      </c>
    </row>
    <row r="521" spans="1:18" x14ac:dyDescent="0.25">
      <c r="A521">
        <v>58</v>
      </c>
      <c r="B521">
        <v>35</v>
      </c>
      <c r="C521" t="s">
        <v>15</v>
      </c>
      <c r="D521" t="s">
        <v>54</v>
      </c>
      <c r="E521" t="s">
        <v>55</v>
      </c>
      <c r="F521" s="5">
        <v>45259</v>
      </c>
      <c r="G521" s="5">
        <v>45265</v>
      </c>
      <c r="H521" t="s">
        <v>68</v>
      </c>
      <c r="I521">
        <v>2023</v>
      </c>
      <c r="J521">
        <v>6</v>
      </c>
      <c r="K521" t="s">
        <v>19</v>
      </c>
      <c r="L521" t="s">
        <v>20</v>
      </c>
      <c r="M521">
        <v>4</v>
      </c>
      <c r="N521" t="s">
        <v>19</v>
      </c>
      <c r="O521">
        <v>12000</v>
      </c>
      <c r="P521" t="str" cm="1">
        <f t="array" ref="P521">_xlfn.IFS(Hospital_Patient[[#This Row],[Age]]&lt;=18,"Young",Hospital_Patient[[#This Row],[Age]]&lt;=36,"Adult",Hospital_Patient[[#This Row],[Age]]&lt;=60,"Middle Age",Hospital_Patient[[#This Row],[Age]]&gt;60,"Senior")</f>
        <v>Adult</v>
      </c>
      <c r="Q521" t="str" cm="1">
        <f t="array" ref="Q5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21">
        <f>YEAR(Hospital_Patient[[#This Row],[Discharge_Date]])</f>
        <v>2023</v>
      </c>
    </row>
    <row r="522" spans="1:18" hidden="1" x14ac:dyDescent="0.25">
      <c r="A522">
        <v>101</v>
      </c>
      <c r="B522">
        <v>58</v>
      </c>
      <c r="C522" t="s">
        <v>22</v>
      </c>
      <c r="D522" t="s">
        <v>52</v>
      </c>
      <c r="E522" t="s">
        <v>53</v>
      </c>
      <c r="F522" s="5">
        <v>45249</v>
      </c>
      <c r="G522" s="5">
        <v>45264</v>
      </c>
      <c r="H522" t="s">
        <v>41</v>
      </c>
      <c r="I522">
        <v>2023</v>
      </c>
      <c r="J522">
        <v>15</v>
      </c>
      <c r="K522" t="s">
        <v>19</v>
      </c>
      <c r="L522" t="s">
        <v>20</v>
      </c>
      <c r="M522">
        <v>3</v>
      </c>
      <c r="N522" t="s">
        <v>21</v>
      </c>
      <c r="O522">
        <v>20000</v>
      </c>
      <c r="P522" t="str" cm="1">
        <f t="array" ref="P522">_xlfn.IFS(Hospital_Patient[[#This Row],[Age]]&lt;=18,"Young",Hospital_Patient[[#This Row],[Age]]&lt;=36,"Adult",Hospital_Patient[[#This Row],[Age]]&lt;=60,"Middle Age",Hospital_Patient[[#This Row],[Age]]&gt;60,"Senior")</f>
        <v>Middle Age</v>
      </c>
      <c r="Q522" t="str" cm="1">
        <f t="array" ref="Q5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22">
        <f>YEAR(Hospital_Patient[[#This Row],[Discharge_Date]])</f>
        <v>2023</v>
      </c>
    </row>
    <row r="523" spans="1:18" hidden="1" x14ac:dyDescent="0.25">
      <c r="A523">
        <v>126</v>
      </c>
      <c r="B523">
        <v>40</v>
      </c>
      <c r="C523" t="s">
        <v>22</v>
      </c>
      <c r="D523" t="s">
        <v>42</v>
      </c>
      <c r="E523" t="s">
        <v>43</v>
      </c>
      <c r="F523" s="5">
        <v>45249</v>
      </c>
      <c r="G523" s="5">
        <v>45263</v>
      </c>
      <c r="H523" t="s">
        <v>71</v>
      </c>
      <c r="I523">
        <v>2023</v>
      </c>
      <c r="J523">
        <v>14</v>
      </c>
      <c r="K523" t="s">
        <v>19</v>
      </c>
      <c r="L523" t="s">
        <v>20</v>
      </c>
      <c r="M523">
        <v>4</v>
      </c>
      <c r="N523" t="s">
        <v>21</v>
      </c>
      <c r="O523">
        <v>3000</v>
      </c>
      <c r="P523" t="str" cm="1">
        <f t="array" ref="P523">_xlfn.IFS(Hospital_Patient[[#This Row],[Age]]&lt;=18,"Young",Hospital_Patient[[#This Row],[Age]]&lt;=36,"Adult",Hospital_Patient[[#This Row],[Age]]&lt;=60,"Middle Age",Hospital_Patient[[#This Row],[Age]]&gt;60,"Senior")</f>
        <v>Middle Age</v>
      </c>
      <c r="Q523" t="str" cm="1">
        <f t="array" ref="Q5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23">
        <f>YEAR(Hospital_Patient[[#This Row],[Discharge_Date]])</f>
        <v>2023</v>
      </c>
    </row>
    <row r="524" spans="1:18" x14ac:dyDescent="0.25">
      <c r="A524">
        <v>334</v>
      </c>
      <c r="B524">
        <v>78</v>
      </c>
      <c r="C524" t="s">
        <v>15</v>
      </c>
      <c r="D524" t="s">
        <v>45</v>
      </c>
      <c r="E524" t="s">
        <v>46</v>
      </c>
      <c r="F524" s="5">
        <v>45231</v>
      </c>
      <c r="G524" s="5">
        <v>45261</v>
      </c>
      <c r="H524" t="s">
        <v>65</v>
      </c>
      <c r="I524">
        <v>2023</v>
      </c>
      <c r="J524">
        <v>30</v>
      </c>
      <c r="K524" t="s">
        <v>21</v>
      </c>
      <c r="L524" t="s">
        <v>26</v>
      </c>
      <c r="M524">
        <v>2</v>
      </c>
      <c r="N524" t="s">
        <v>19</v>
      </c>
      <c r="O524">
        <v>18000</v>
      </c>
      <c r="P524" t="str" cm="1">
        <f t="array" ref="P524">_xlfn.IFS(Hospital_Patient[[#This Row],[Age]]&lt;=18,"Young",Hospital_Patient[[#This Row],[Age]]&lt;=36,"Adult",Hospital_Patient[[#This Row],[Age]]&lt;=60,"Middle Age",Hospital_Patient[[#This Row],[Age]]&gt;60,"Senior")</f>
        <v>Senior</v>
      </c>
      <c r="Q524" t="str" cm="1">
        <f t="array" ref="Q5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24">
        <f>YEAR(Hospital_Patient[[#This Row],[Discharge_Date]])</f>
        <v>2023</v>
      </c>
    </row>
    <row r="525" spans="1:18" hidden="1" x14ac:dyDescent="0.25">
      <c r="A525">
        <v>630</v>
      </c>
      <c r="B525">
        <v>25</v>
      </c>
      <c r="C525" t="s">
        <v>22</v>
      </c>
      <c r="D525" t="s">
        <v>47</v>
      </c>
      <c r="E525" t="s">
        <v>48</v>
      </c>
      <c r="F525" s="5">
        <v>45216</v>
      </c>
      <c r="G525" s="5">
        <v>45259</v>
      </c>
      <c r="H525" t="s">
        <v>18</v>
      </c>
      <c r="I525">
        <v>2023</v>
      </c>
      <c r="J525">
        <v>43</v>
      </c>
      <c r="K525" t="s">
        <v>19</v>
      </c>
      <c r="L525" t="s">
        <v>20</v>
      </c>
      <c r="M525">
        <v>5</v>
      </c>
      <c r="N525" t="s">
        <v>21</v>
      </c>
      <c r="O525">
        <v>100</v>
      </c>
      <c r="P525" t="str" cm="1">
        <f t="array" ref="P525">_xlfn.IFS(Hospital_Patient[[#This Row],[Age]]&lt;=18,"Young",Hospital_Patient[[#This Row],[Age]]&lt;=36,"Adult",Hospital_Patient[[#This Row],[Age]]&lt;=60,"Middle Age",Hospital_Patient[[#This Row],[Age]]&gt;60,"Senior")</f>
        <v>Adult</v>
      </c>
      <c r="Q525" t="str" cm="1">
        <f t="array" ref="Q5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25">
        <f>YEAR(Hospital_Patient[[#This Row],[Discharge_Date]])</f>
        <v>2023</v>
      </c>
    </row>
    <row r="526" spans="1:18" x14ac:dyDescent="0.25">
      <c r="A526">
        <v>886</v>
      </c>
      <c r="B526">
        <v>60</v>
      </c>
      <c r="C526" t="s">
        <v>15</v>
      </c>
      <c r="D526" t="s">
        <v>59</v>
      </c>
      <c r="E526" t="s">
        <v>60</v>
      </c>
      <c r="F526" s="5">
        <v>45191</v>
      </c>
      <c r="G526" s="5">
        <v>45255</v>
      </c>
      <c r="H526" t="s">
        <v>73</v>
      </c>
      <c r="I526">
        <v>2023</v>
      </c>
      <c r="J526">
        <v>64</v>
      </c>
      <c r="K526" t="s">
        <v>19</v>
      </c>
      <c r="L526" t="s">
        <v>26</v>
      </c>
      <c r="M526">
        <v>4</v>
      </c>
      <c r="N526" t="s">
        <v>19</v>
      </c>
      <c r="O526">
        <v>4000</v>
      </c>
      <c r="P526" t="str" cm="1">
        <f t="array" ref="P526">_xlfn.IFS(Hospital_Patient[[#This Row],[Age]]&lt;=18,"Young",Hospital_Patient[[#This Row],[Age]]&lt;=36,"Adult",Hospital_Patient[[#This Row],[Age]]&lt;=60,"Middle Age",Hospital_Patient[[#This Row],[Age]]&gt;60,"Senior")</f>
        <v>Middle Age</v>
      </c>
      <c r="Q526" t="str" cm="1">
        <f t="array" ref="Q5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26">
        <f>YEAR(Hospital_Patient[[#This Row],[Discharge_Date]])</f>
        <v>2023</v>
      </c>
    </row>
    <row r="527" spans="1:18" x14ac:dyDescent="0.25">
      <c r="A527">
        <v>561</v>
      </c>
      <c r="B527">
        <v>60</v>
      </c>
      <c r="C527" t="s">
        <v>15</v>
      </c>
      <c r="D527" t="s">
        <v>59</v>
      </c>
      <c r="E527" t="s">
        <v>60</v>
      </c>
      <c r="F527" s="5">
        <v>45210</v>
      </c>
      <c r="G527" s="5">
        <v>45252</v>
      </c>
      <c r="H527" t="s">
        <v>75</v>
      </c>
      <c r="I527">
        <v>2023</v>
      </c>
      <c r="J527">
        <v>42</v>
      </c>
      <c r="K527" t="s">
        <v>19</v>
      </c>
      <c r="L527" t="s">
        <v>26</v>
      </c>
      <c r="M527">
        <v>4</v>
      </c>
      <c r="N527" t="s">
        <v>21</v>
      </c>
      <c r="O527">
        <v>4000</v>
      </c>
      <c r="P527" t="str" cm="1">
        <f t="array" ref="P527">_xlfn.IFS(Hospital_Patient[[#This Row],[Age]]&lt;=18,"Young",Hospital_Patient[[#This Row],[Age]]&lt;=36,"Adult",Hospital_Patient[[#This Row],[Age]]&lt;=60,"Middle Age",Hospital_Patient[[#This Row],[Age]]&gt;60,"Senior")</f>
        <v>Middle Age</v>
      </c>
      <c r="Q527" t="str" cm="1">
        <f t="array" ref="Q5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27">
        <f>YEAR(Hospital_Patient[[#This Row],[Discharge_Date]])</f>
        <v>2023</v>
      </c>
    </row>
    <row r="528" spans="1:18" hidden="1" x14ac:dyDescent="0.25">
      <c r="A528">
        <v>919</v>
      </c>
      <c r="B528">
        <v>70</v>
      </c>
      <c r="C528" t="s">
        <v>22</v>
      </c>
      <c r="D528" t="s">
        <v>30</v>
      </c>
      <c r="E528" t="s">
        <v>31</v>
      </c>
      <c r="F528" s="5">
        <v>45182</v>
      </c>
      <c r="G528" s="5">
        <v>45252</v>
      </c>
      <c r="H528" t="s">
        <v>35</v>
      </c>
      <c r="I528">
        <v>2023</v>
      </c>
      <c r="J528">
        <v>70</v>
      </c>
      <c r="K528" t="s">
        <v>21</v>
      </c>
      <c r="L528" t="s">
        <v>26</v>
      </c>
      <c r="M528">
        <v>2</v>
      </c>
      <c r="N528" t="s">
        <v>19</v>
      </c>
      <c r="O528">
        <v>10000</v>
      </c>
      <c r="P528" t="str" cm="1">
        <f t="array" ref="P528">_xlfn.IFS(Hospital_Patient[[#This Row],[Age]]&lt;=18,"Young",Hospital_Patient[[#This Row],[Age]]&lt;=36,"Adult",Hospital_Patient[[#This Row],[Age]]&lt;=60,"Middle Age",Hospital_Patient[[#This Row],[Age]]&gt;60,"Senior")</f>
        <v>Senior</v>
      </c>
      <c r="Q528" t="str" cm="1">
        <f t="array" ref="Q5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28">
        <f>YEAR(Hospital_Patient[[#This Row],[Discharge_Date]])</f>
        <v>2023</v>
      </c>
    </row>
    <row r="529" spans="1:18" x14ac:dyDescent="0.25">
      <c r="A529">
        <v>235</v>
      </c>
      <c r="B529">
        <v>35</v>
      </c>
      <c r="C529" t="s">
        <v>15</v>
      </c>
      <c r="D529" t="s">
        <v>54</v>
      </c>
      <c r="E529" t="s">
        <v>55</v>
      </c>
      <c r="F529" s="5">
        <v>45231</v>
      </c>
      <c r="G529" s="5">
        <v>45249</v>
      </c>
      <c r="H529" t="s">
        <v>56</v>
      </c>
      <c r="I529">
        <v>2023</v>
      </c>
      <c r="J529">
        <v>18</v>
      </c>
      <c r="K529" t="s">
        <v>19</v>
      </c>
      <c r="L529" t="s">
        <v>20</v>
      </c>
      <c r="M529">
        <v>4</v>
      </c>
      <c r="N529" t="s">
        <v>21</v>
      </c>
      <c r="O529">
        <v>12000</v>
      </c>
      <c r="P529" t="str" cm="1">
        <f t="array" ref="P529">_xlfn.IFS(Hospital_Patient[[#This Row],[Age]]&lt;=18,"Young",Hospital_Patient[[#This Row],[Age]]&lt;=36,"Adult",Hospital_Patient[[#This Row],[Age]]&lt;=60,"Middle Age",Hospital_Patient[[#This Row],[Age]]&gt;60,"Senior")</f>
        <v>Adult</v>
      </c>
      <c r="Q529" t="str" cm="1">
        <f t="array" ref="Q5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29">
        <f>YEAR(Hospital_Patient[[#This Row],[Discharge_Date]])</f>
        <v>2023</v>
      </c>
    </row>
    <row r="530" spans="1:18" hidden="1" x14ac:dyDescent="0.25">
      <c r="A530">
        <v>702</v>
      </c>
      <c r="B530">
        <v>45</v>
      </c>
      <c r="C530" t="s">
        <v>22</v>
      </c>
      <c r="D530" t="s">
        <v>42</v>
      </c>
      <c r="E530" t="s">
        <v>43</v>
      </c>
      <c r="F530" s="5">
        <v>45193</v>
      </c>
      <c r="G530" s="5">
        <v>45246</v>
      </c>
      <c r="H530" t="s">
        <v>69</v>
      </c>
      <c r="I530">
        <v>2023</v>
      </c>
      <c r="J530">
        <v>53</v>
      </c>
      <c r="K530" t="s">
        <v>19</v>
      </c>
      <c r="L530" t="s">
        <v>20</v>
      </c>
      <c r="M530">
        <v>4</v>
      </c>
      <c r="N530" t="s">
        <v>21</v>
      </c>
      <c r="O530">
        <v>3000</v>
      </c>
      <c r="P530" t="str" cm="1">
        <f t="array" ref="P530">_xlfn.IFS(Hospital_Patient[[#This Row],[Age]]&lt;=18,"Young",Hospital_Patient[[#This Row],[Age]]&lt;=36,"Adult",Hospital_Patient[[#This Row],[Age]]&lt;=60,"Middle Age",Hospital_Patient[[#This Row],[Age]]&gt;60,"Senior")</f>
        <v>Middle Age</v>
      </c>
      <c r="Q530" t="str" cm="1">
        <f t="array" ref="Q5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30">
        <f>YEAR(Hospital_Patient[[#This Row],[Discharge_Date]])</f>
        <v>2023</v>
      </c>
    </row>
    <row r="531" spans="1:18" hidden="1" x14ac:dyDescent="0.25">
      <c r="A531">
        <v>462</v>
      </c>
      <c r="B531">
        <v>78</v>
      </c>
      <c r="C531" t="s">
        <v>22</v>
      </c>
      <c r="D531" t="s">
        <v>30</v>
      </c>
      <c r="E531" t="s">
        <v>31</v>
      </c>
      <c r="F531" s="5">
        <v>45205</v>
      </c>
      <c r="G531" s="5">
        <v>45244</v>
      </c>
      <c r="H531" t="s">
        <v>63</v>
      </c>
      <c r="I531">
        <v>2023</v>
      </c>
      <c r="J531">
        <v>39</v>
      </c>
      <c r="K531" t="s">
        <v>19</v>
      </c>
      <c r="L531" t="s">
        <v>26</v>
      </c>
      <c r="M531">
        <v>2</v>
      </c>
      <c r="N531" t="s">
        <v>21</v>
      </c>
      <c r="O531">
        <v>10000</v>
      </c>
      <c r="P531" t="str" cm="1">
        <f t="array" ref="P531">_xlfn.IFS(Hospital_Patient[[#This Row],[Age]]&lt;=18,"Young",Hospital_Patient[[#This Row],[Age]]&lt;=36,"Adult",Hospital_Patient[[#This Row],[Age]]&lt;=60,"Middle Age",Hospital_Patient[[#This Row],[Age]]&gt;60,"Senior")</f>
        <v>Senior</v>
      </c>
      <c r="Q531" t="str" cm="1">
        <f t="array" ref="Q5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31">
        <f>YEAR(Hospital_Patient[[#This Row],[Discharge_Date]])</f>
        <v>2023</v>
      </c>
    </row>
    <row r="532" spans="1:18" x14ac:dyDescent="0.25">
      <c r="A532">
        <v>282</v>
      </c>
      <c r="B532">
        <v>55</v>
      </c>
      <c r="C532" t="s">
        <v>15</v>
      </c>
      <c r="D532" t="s">
        <v>16</v>
      </c>
      <c r="E532" t="s">
        <v>17</v>
      </c>
      <c r="F532" s="5">
        <v>45219</v>
      </c>
      <c r="G532" s="5">
        <v>45243</v>
      </c>
      <c r="H532" t="s">
        <v>73</v>
      </c>
      <c r="I532">
        <v>2023</v>
      </c>
      <c r="J532">
        <v>24</v>
      </c>
      <c r="K532" t="s">
        <v>21</v>
      </c>
      <c r="L532" t="s">
        <v>20</v>
      </c>
      <c r="M532">
        <v>3</v>
      </c>
      <c r="N532" t="s">
        <v>21</v>
      </c>
      <c r="O532">
        <v>15000</v>
      </c>
      <c r="P532" t="str" cm="1">
        <f t="array" ref="P532">_xlfn.IFS(Hospital_Patient[[#This Row],[Age]]&lt;=18,"Young",Hospital_Patient[[#This Row],[Age]]&lt;=36,"Adult",Hospital_Patient[[#This Row],[Age]]&lt;=60,"Middle Age",Hospital_Patient[[#This Row],[Age]]&gt;60,"Senior")</f>
        <v>Middle Age</v>
      </c>
      <c r="Q532" t="str" cm="1">
        <f t="array" ref="Q5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32">
        <f>YEAR(Hospital_Patient[[#This Row],[Discharge_Date]])</f>
        <v>2023</v>
      </c>
    </row>
    <row r="533" spans="1:18" x14ac:dyDescent="0.25">
      <c r="A533">
        <v>496</v>
      </c>
      <c r="B533">
        <v>75</v>
      </c>
      <c r="C533" t="s">
        <v>15</v>
      </c>
      <c r="D533" t="s">
        <v>45</v>
      </c>
      <c r="E533" t="s">
        <v>46</v>
      </c>
      <c r="F533" s="5">
        <v>45201</v>
      </c>
      <c r="G533" s="5">
        <v>45242</v>
      </c>
      <c r="H533" t="s">
        <v>69</v>
      </c>
      <c r="I533">
        <v>2023</v>
      </c>
      <c r="J533">
        <v>41</v>
      </c>
      <c r="K533" t="s">
        <v>21</v>
      </c>
      <c r="L533" t="s">
        <v>26</v>
      </c>
      <c r="M533">
        <v>2</v>
      </c>
      <c r="N533" t="s">
        <v>21</v>
      </c>
      <c r="O533">
        <v>18000</v>
      </c>
      <c r="P533" t="str" cm="1">
        <f t="array" ref="P533">_xlfn.IFS(Hospital_Patient[[#This Row],[Age]]&lt;=18,"Young",Hospital_Patient[[#This Row],[Age]]&lt;=36,"Adult",Hospital_Patient[[#This Row],[Age]]&lt;=60,"Middle Age",Hospital_Patient[[#This Row],[Age]]&gt;60,"Senior")</f>
        <v>Senior</v>
      </c>
      <c r="Q533" t="str" cm="1">
        <f t="array" ref="Q5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33">
        <f>YEAR(Hospital_Patient[[#This Row],[Discharge_Date]])</f>
        <v>2023</v>
      </c>
    </row>
    <row r="534" spans="1:18" hidden="1" x14ac:dyDescent="0.25">
      <c r="A534">
        <v>831</v>
      </c>
      <c r="B534">
        <v>70</v>
      </c>
      <c r="C534" t="s">
        <v>22</v>
      </c>
      <c r="D534" t="s">
        <v>30</v>
      </c>
      <c r="E534" t="s">
        <v>31</v>
      </c>
      <c r="F534" s="5">
        <v>45178</v>
      </c>
      <c r="G534" s="5">
        <v>45242</v>
      </c>
      <c r="H534" t="s">
        <v>32</v>
      </c>
      <c r="I534">
        <v>2023</v>
      </c>
      <c r="J534">
        <v>64</v>
      </c>
      <c r="K534" t="s">
        <v>21</v>
      </c>
      <c r="L534" t="s">
        <v>26</v>
      </c>
      <c r="M534">
        <v>2</v>
      </c>
      <c r="N534" t="s">
        <v>19</v>
      </c>
      <c r="O534">
        <v>10000</v>
      </c>
      <c r="P534" t="str" cm="1">
        <f t="array" ref="P534">_xlfn.IFS(Hospital_Patient[[#This Row],[Age]]&lt;=18,"Young",Hospital_Patient[[#This Row],[Age]]&lt;=36,"Adult",Hospital_Patient[[#This Row],[Age]]&lt;=60,"Middle Age",Hospital_Patient[[#This Row],[Age]]&gt;60,"Senior")</f>
        <v>Senior</v>
      </c>
      <c r="Q534" t="str" cm="1">
        <f t="array" ref="Q5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34">
        <f>YEAR(Hospital_Patient[[#This Row],[Discharge_Date]])</f>
        <v>2023</v>
      </c>
    </row>
    <row r="535" spans="1:18" x14ac:dyDescent="0.25">
      <c r="A535">
        <v>182</v>
      </c>
      <c r="B535">
        <v>55</v>
      </c>
      <c r="C535" t="s">
        <v>15</v>
      </c>
      <c r="D535" t="s">
        <v>33</v>
      </c>
      <c r="E535" t="s">
        <v>34</v>
      </c>
      <c r="F535" s="5">
        <v>45219</v>
      </c>
      <c r="G535" s="5">
        <v>45241</v>
      </c>
      <c r="H535" t="s">
        <v>35</v>
      </c>
      <c r="I535">
        <v>2023</v>
      </c>
      <c r="J535">
        <v>22</v>
      </c>
      <c r="K535" t="s">
        <v>19</v>
      </c>
      <c r="L535" t="s">
        <v>20</v>
      </c>
      <c r="M535">
        <v>4</v>
      </c>
      <c r="N535" t="s">
        <v>19</v>
      </c>
      <c r="O535">
        <v>25000</v>
      </c>
      <c r="P535" t="str" cm="1">
        <f t="array" ref="P535">_xlfn.IFS(Hospital_Patient[[#This Row],[Age]]&lt;=18,"Young",Hospital_Patient[[#This Row],[Age]]&lt;=36,"Adult",Hospital_Patient[[#This Row],[Age]]&lt;=60,"Middle Age",Hospital_Patient[[#This Row],[Age]]&gt;60,"Senior")</f>
        <v>Middle Age</v>
      </c>
      <c r="Q535" t="str" cm="1">
        <f t="array" ref="Q5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35">
        <f>YEAR(Hospital_Patient[[#This Row],[Discharge_Date]])</f>
        <v>2023</v>
      </c>
    </row>
    <row r="536" spans="1:18" x14ac:dyDescent="0.25">
      <c r="A536">
        <v>326</v>
      </c>
      <c r="B536">
        <v>48</v>
      </c>
      <c r="C536" t="s">
        <v>15</v>
      </c>
      <c r="D536" t="s">
        <v>16</v>
      </c>
      <c r="E536" t="s">
        <v>17</v>
      </c>
      <c r="F536" s="5">
        <v>45214</v>
      </c>
      <c r="G536" s="5">
        <v>45241</v>
      </c>
      <c r="H536" t="s">
        <v>18</v>
      </c>
      <c r="I536">
        <v>2023</v>
      </c>
      <c r="J536">
        <v>27</v>
      </c>
      <c r="K536" t="s">
        <v>21</v>
      </c>
      <c r="L536" t="s">
        <v>20</v>
      </c>
      <c r="M536">
        <v>4</v>
      </c>
      <c r="N536" t="s">
        <v>19</v>
      </c>
      <c r="O536">
        <v>15000</v>
      </c>
      <c r="P536" t="str" cm="1">
        <f t="array" ref="P536">_xlfn.IFS(Hospital_Patient[[#This Row],[Age]]&lt;=18,"Young",Hospital_Patient[[#This Row],[Age]]&lt;=36,"Adult",Hospital_Patient[[#This Row],[Age]]&lt;=60,"Middle Age",Hospital_Patient[[#This Row],[Age]]&gt;60,"Senior")</f>
        <v>Middle Age</v>
      </c>
      <c r="Q536" t="str" cm="1">
        <f t="array" ref="Q5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36">
        <f>YEAR(Hospital_Patient[[#This Row],[Discharge_Date]])</f>
        <v>2023</v>
      </c>
    </row>
    <row r="537" spans="1:18" x14ac:dyDescent="0.25">
      <c r="A537">
        <v>387</v>
      </c>
      <c r="B537">
        <v>30</v>
      </c>
      <c r="C537" t="s">
        <v>15</v>
      </c>
      <c r="D537" t="s">
        <v>27</v>
      </c>
      <c r="E537" t="s">
        <v>28</v>
      </c>
      <c r="F537" s="5">
        <v>45214</v>
      </c>
      <c r="G537" s="5">
        <v>45241</v>
      </c>
      <c r="H537" t="s">
        <v>70</v>
      </c>
      <c r="I537">
        <v>2023</v>
      </c>
      <c r="J537">
        <v>27</v>
      </c>
      <c r="K537" t="s">
        <v>19</v>
      </c>
      <c r="L537" t="s">
        <v>20</v>
      </c>
      <c r="M537">
        <v>5</v>
      </c>
      <c r="N537" t="s">
        <v>19</v>
      </c>
      <c r="O537">
        <v>500</v>
      </c>
      <c r="P537" t="str" cm="1">
        <f t="array" ref="P537">_xlfn.IFS(Hospital_Patient[[#This Row],[Age]]&lt;=18,"Young",Hospital_Patient[[#This Row],[Age]]&lt;=36,"Adult",Hospital_Patient[[#This Row],[Age]]&lt;=60,"Middle Age",Hospital_Patient[[#This Row],[Age]]&gt;60,"Senior")</f>
        <v>Adult</v>
      </c>
      <c r="Q537" t="str" cm="1">
        <f t="array" ref="Q5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37">
        <f>YEAR(Hospital_Patient[[#This Row],[Discharge_Date]])</f>
        <v>2023</v>
      </c>
    </row>
    <row r="538" spans="1:18" hidden="1" x14ac:dyDescent="0.25">
      <c r="A538">
        <v>963</v>
      </c>
      <c r="B538">
        <v>78</v>
      </c>
      <c r="C538" t="s">
        <v>22</v>
      </c>
      <c r="D538" t="s">
        <v>30</v>
      </c>
      <c r="E538" t="s">
        <v>31</v>
      </c>
      <c r="F538" s="5">
        <v>45168</v>
      </c>
      <c r="G538" s="5">
        <v>45241</v>
      </c>
      <c r="H538" t="s">
        <v>32</v>
      </c>
      <c r="I538">
        <v>2023</v>
      </c>
      <c r="J538">
        <v>73</v>
      </c>
      <c r="K538" t="s">
        <v>19</v>
      </c>
      <c r="L538" t="s">
        <v>26</v>
      </c>
      <c r="M538">
        <v>2</v>
      </c>
      <c r="N538" t="s">
        <v>19</v>
      </c>
      <c r="O538">
        <v>10000</v>
      </c>
      <c r="P538" t="str" cm="1">
        <f t="array" ref="P538">_xlfn.IFS(Hospital_Patient[[#This Row],[Age]]&lt;=18,"Young",Hospital_Patient[[#This Row],[Age]]&lt;=36,"Adult",Hospital_Patient[[#This Row],[Age]]&lt;=60,"Middle Age",Hospital_Patient[[#This Row],[Age]]&gt;60,"Senior")</f>
        <v>Senior</v>
      </c>
      <c r="Q538" t="str" cm="1">
        <f t="array" ref="Q5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38">
        <f>YEAR(Hospital_Patient[[#This Row],[Discharge_Date]])</f>
        <v>2023</v>
      </c>
    </row>
    <row r="539" spans="1:18" x14ac:dyDescent="0.25">
      <c r="A539">
        <v>41</v>
      </c>
      <c r="B539">
        <v>52</v>
      </c>
      <c r="C539" t="s">
        <v>15</v>
      </c>
      <c r="D539" t="s">
        <v>49</v>
      </c>
      <c r="E539" t="s">
        <v>50</v>
      </c>
      <c r="F539" s="5">
        <v>45236</v>
      </c>
      <c r="G539" s="5">
        <v>45240</v>
      </c>
      <c r="H539" t="s">
        <v>64</v>
      </c>
      <c r="I539">
        <v>2023</v>
      </c>
      <c r="J539">
        <v>4</v>
      </c>
      <c r="K539" t="s">
        <v>19</v>
      </c>
      <c r="L539" t="s">
        <v>26</v>
      </c>
      <c r="M539">
        <v>4</v>
      </c>
      <c r="N539" t="s">
        <v>19</v>
      </c>
      <c r="O539">
        <v>800</v>
      </c>
      <c r="P539" t="str" cm="1">
        <f t="array" ref="P539">_xlfn.IFS(Hospital_Patient[[#This Row],[Age]]&lt;=18,"Young",Hospital_Patient[[#This Row],[Age]]&lt;=36,"Adult",Hospital_Patient[[#This Row],[Age]]&lt;=60,"Middle Age",Hospital_Patient[[#This Row],[Age]]&gt;60,"Senior")</f>
        <v>Middle Age</v>
      </c>
      <c r="Q539" t="str" cm="1">
        <f t="array" ref="Q5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39">
        <f>YEAR(Hospital_Patient[[#This Row],[Discharge_Date]])</f>
        <v>2023</v>
      </c>
    </row>
    <row r="540" spans="1:18" hidden="1" x14ac:dyDescent="0.25">
      <c r="A540">
        <v>71</v>
      </c>
      <c r="B540">
        <v>58</v>
      </c>
      <c r="C540" t="s">
        <v>22</v>
      </c>
      <c r="D540" t="s">
        <v>52</v>
      </c>
      <c r="E540" t="s">
        <v>53</v>
      </c>
      <c r="F540" s="5">
        <v>45223</v>
      </c>
      <c r="G540" s="5">
        <v>45236</v>
      </c>
      <c r="H540" t="s">
        <v>51</v>
      </c>
      <c r="I540">
        <v>2023</v>
      </c>
      <c r="J540">
        <v>13</v>
      </c>
      <c r="K540" t="s">
        <v>19</v>
      </c>
      <c r="L540" t="s">
        <v>20</v>
      </c>
      <c r="M540">
        <v>3</v>
      </c>
      <c r="N540" t="s">
        <v>19</v>
      </c>
      <c r="O540">
        <v>20000</v>
      </c>
      <c r="P540" t="str" cm="1">
        <f t="array" ref="P540">_xlfn.IFS(Hospital_Patient[[#This Row],[Age]]&lt;=18,"Young",Hospital_Patient[[#This Row],[Age]]&lt;=36,"Adult",Hospital_Patient[[#This Row],[Age]]&lt;=60,"Middle Age",Hospital_Patient[[#This Row],[Age]]&gt;60,"Senior")</f>
        <v>Middle Age</v>
      </c>
      <c r="Q540" t="str" cm="1">
        <f t="array" ref="Q5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40">
        <f>YEAR(Hospital_Patient[[#This Row],[Discharge_Date]])</f>
        <v>2023</v>
      </c>
    </row>
    <row r="541" spans="1:18" hidden="1" x14ac:dyDescent="0.25">
      <c r="A541">
        <v>234</v>
      </c>
      <c r="B541">
        <v>67</v>
      </c>
      <c r="C541" t="s">
        <v>22</v>
      </c>
      <c r="D541" t="s">
        <v>52</v>
      </c>
      <c r="E541" t="s">
        <v>53</v>
      </c>
      <c r="F541" s="5">
        <v>45212</v>
      </c>
      <c r="G541" s="5">
        <v>45236</v>
      </c>
      <c r="H541" t="s">
        <v>18</v>
      </c>
      <c r="I541">
        <v>2023</v>
      </c>
      <c r="J541">
        <v>24</v>
      </c>
      <c r="K541" t="s">
        <v>19</v>
      </c>
      <c r="L541" t="s">
        <v>20</v>
      </c>
      <c r="M541">
        <v>3</v>
      </c>
      <c r="N541" t="s">
        <v>19</v>
      </c>
      <c r="O541">
        <v>20000</v>
      </c>
      <c r="P541" t="str" cm="1">
        <f t="array" ref="P541">_xlfn.IFS(Hospital_Patient[[#This Row],[Age]]&lt;=18,"Young",Hospital_Patient[[#This Row],[Age]]&lt;=36,"Adult",Hospital_Patient[[#This Row],[Age]]&lt;=60,"Middle Age",Hospital_Patient[[#This Row],[Age]]&gt;60,"Senior")</f>
        <v>Senior</v>
      </c>
      <c r="Q541" t="str" cm="1">
        <f t="array" ref="Q5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41">
        <f>YEAR(Hospital_Patient[[#This Row],[Discharge_Date]])</f>
        <v>2023</v>
      </c>
    </row>
    <row r="542" spans="1:18" x14ac:dyDescent="0.25">
      <c r="A542">
        <v>46</v>
      </c>
      <c r="B542">
        <v>55</v>
      </c>
      <c r="C542" t="s">
        <v>15</v>
      </c>
      <c r="D542" t="s">
        <v>16</v>
      </c>
      <c r="E542" t="s">
        <v>17</v>
      </c>
      <c r="F542" s="5">
        <v>45227</v>
      </c>
      <c r="G542" s="5">
        <v>45235</v>
      </c>
      <c r="H542" t="s">
        <v>69</v>
      </c>
      <c r="I542">
        <v>2023</v>
      </c>
      <c r="J542">
        <v>8</v>
      </c>
      <c r="K542" t="s">
        <v>21</v>
      </c>
      <c r="L542" t="s">
        <v>20</v>
      </c>
      <c r="M542">
        <v>3</v>
      </c>
      <c r="N542" t="s">
        <v>19</v>
      </c>
      <c r="O542">
        <v>15000</v>
      </c>
      <c r="P542" t="str" cm="1">
        <f t="array" ref="P542">_xlfn.IFS(Hospital_Patient[[#This Row],[Age]]&lt;=18,"Young",Hospital_Patient[[#This Row],[Age]]&lt;=36,"Adult",Hospital_Patient[[#This Row],[Age]]&lt;=60,"Middle Age",Hospital_Patient[[#This Row],[Age]]&gt;60,"Senior")</f>
        <v>Middle Age</v>
      </c>
      <c r="Q542" t="str" cm="1">
        <f t="array" ref="Q5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42">
        <f>YEAR(Hospital_Patient[[#This Row],[Discharge_Date]])</f>
        <v>2023</v>
      </c>
    </row>
    <row r="543" spans="1:18" hidden="1" x14ac:dyDescent="0.25">
      <c r="A543">
        <v>371</v>
      </c>
      <c r="B543">
        <v>62</v>
      </c>
      <c r="C543" t="s">
        <v>22</v>
      </c>
      <c r="D543" t="s">
        <v>23</v>
      </c>
      <c r="E543" t="s">
        <v>24</v>
      </c>
      <c r="F543" s="5">
        <v>45207</v>
      </c>
      <c r="G543" s="5">
        <v>45235</v>
      </c>
      <c r="H543" t="s">
        <v>25</v>
      </c>
      <c r="I543">
        <v>2023</v>
      </c>
      <c r="J543">
        <v>28</v>
      </c>
      <c r="K543" t="s">
        <v>19</v>
      </c>
      <c r="L543" t="s">
        <v>26</v>
      </c>
      <c r="M543">
        <v>4</v>
      </c>
      <c r="N543" t="s">
        <v>21</v>
      </c>
      <c r="O543">
        <v>2000</v>
      </c>
      <c r="P543" t="str" cm="1">
        <f t="array" ref="P543">_xlfn.IFS(Hospital_Patient[[#This Row],[Age]]&lt;=18,"Young",Hospital_Patient[[#This Row],[Age]]&lt;=36,"Adult",Hospital_Patient[[#This Row],[Age]]&lt;=60,"Middle Age",Hospital_Patient[[#This Row],[Age]]&gt;60,"Senior")</f>
        <v>Senior</v>
      </c>
      <c r="Q543" t="str" cm="1">
        <f t="array" ref="Q5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43">
        <f>YEAR(Hospital_Patient[[#This Row],[Discharge_Date]])</f>
        <v>2023</v>
      </c>
    </row>
    <row r="544" spans="1:18" x14ac:dyDescent="0.25">
      <c r="A544">
        <v>15</v>
      </c>
      <c r="B544">
        <v>58</v>
      </c>
      <c r="C544" t="s">
        <v>15</v>
      </c>
      <c r="D544" t="s">
        <v>59</v>
      </c>
      <c r="E544" t="s">
        <v>60</v>
      </c>
      <c r="F544" s="5">
        <v>45227</v>
      </c>
      <c r="G544" s="5">
        <v>45232</v>
      </c>
      <c r="H544" t="s">
        <v>61</v>
      </c>
      <c r="I544">
        <v>2023</v>
      </c>
      <c r="J544">
        <v>5</v>
      </c>
      <c r="K544" t="s">
        <v>19</v>
      </c>
      <c r="L544" t="s">
        <v>26</v>
      </c>
      <c r="M544">
        <v>4</v>
      </c>
      <c r="N544" t="s">
        <v>19</v>
      </c>
      <c r="O544">
        <v>4000</v>
      </c>
      <c r="P544" t="str" cm="1">
        <f t="array" ref="P544">_xlfn.IFS(Hospital_Patient[[#This Row],[Age]]&lt;=18,"Young",Hospital_Patient[[#This Row],[Age]]&lt;=36,"Adult",Hospital_Patient[[#This Row],[Age]]&lt;=60,"Middle Age",Hospital_Patient[[#This Row],[Age]]&gt;60,"Senior")</f>
        <v>Middle Age</v>
      </c>
      <c r="Q544" t="str" cm="1">
        <f t="array" ref="Q5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44">
        <f>YEAR(Hospital_Patient[[#This Row],[Discharge_Date]])</f>
        <v>2023</v>
      </c>
    </row>
    <row r="545" spans="1:18" x14ac:dyDescent="0.25">
      <c r="A545">
        <v>583</v>
      </c>
      <c r="B545">
        <v>60</v>
      </c>
      <c r="C545" t="s">
        <v>15</v>
      </c>
      <c r="D545" t="s">
        <v>39</v>
      </c>
      <c r="E545" t="s">
        <v>40</v>
      </c>
      <c r="F545" s="5">
        <v>45187</v>
      </c>
      <c r="G545" s="5">
        <v>45232</v>
      </c>
      <c r="H545" t="s">
        <v>69</v>
      </c>
      <c r="I545">
        <v>2023</v>
      </c>
      <c r="J545">
        <v>45</v>
      </c>
      <c r="K545" t="s">
        <v>21</v>
      </c>
      <c r="L545" t="s">
        <v>20</v>
      </c>
      <c r="M545">
        <v>3</v>
      </c>
      <c r="N545" t="s">
        <v>21</v>
      </c>
      <c r="O545">
        <v>8000</v>
      </c>
      <c r="P545" t="str" cm="1">
        <f t="array" ref="P545">_xlfn.IFS(Hospital_Patient[[#This Row],[Age]]&lt;=18,"Young",Hospital_Patient[[#This Row],[Age]]&lt;=36,"Adult",Hospital_Patient[[#This Row],[Age]]&lt;=60,"Middle Age",Hospital_Patient[[#This Row],[Age]]&gt;60,"Senior")</f>
        <v>Middle Age</v>
      </c>
      <c r="Q545" t="str" cm="1">
        <f t="array" ref="Q5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45">
        <f>YEAR(Hospital_Patient[[#This Row],[Discharge_Date]])</f>
        <v>2023</v>
      </c>
    </row>
    <row r="546" spans="1:18" hidden="1" x14ac:dyDescent="0.25">
      <c r="A546">
        <v>244</v>
      </c>
      <c r="B546">
        <v>40</v>
      </c>
      <c r="C546" t="s">
        <v>22</v>
      </c>
      <c r="D546" t="s">
        <v>42</v>
      </c>
      <c r="E546" t="s">
        <v>43</v>
      </c>
      <c r="F546" s="5">
        <v>45208</v>
      </c>
      <c r="G546" s="5">
        <v>45230</v>
      </c>
      <c r="H546" t="s">
        <v>44</v>
      </c>
      <c r="I546">
        <v>2023</v>
      </c>
      <c r="J546">
        <v>22</v>
      </c>
      <c r="K546" t="s">
        <v>19</v>
      </c>
      <c r="L546" t="s">
        <v>20</v>
      </c>
      <c r="M546">
        <v>4</v>
      </c>
      <c r="N546" t="s">
        <v>21</v>
      </c>
      <c r="O546">
        <v>3000</v>
      </c>
      <c r="P546" t="str" cm="1">
        <f t="array" ref="P546">_xlfn.IFS(Hospital_Patient[[#This Row],[Age]]&lt;=18,"Young",Hospital_Patient[[#This Row],[Age]]&lt;=36,"Adult",Hospital_Patient[[#This Row],[Age]]&lt;=60,"Middle Age",Hospital_Patient[[#This Row],[Age]]&gt;60,"Senior")</f>
        <v>Middle Age</v>
      </c>
      <c r="Q546" t="str" cm="1">
        <f t="array" ref="Q5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46">
        <f>YEAR(Hospital_Patient[[#This Row],[Discharge_Date]])</f>
        <v>2023</v>
      </c>
    </row>
    <row r="547" spans="1:18" hidden="1" x14ac:dyDescent="0.25">
      <c r="A547">
        <v>875</v>
      </c>
      <c r="B547">
        <v>78</v>
      </c>
      <c r="C547" t="s">
        <v>22</v>
      </c>
      <c r="D547" t="s">
        <v>30</v>
      </c>
      <c r="E547" t="s">
        <v>31</v>
      </c>
      <c r="F547" s="5">
        <v>45162</v>
      </c>
      <c r="G547" s="5">
        <v>45229</v>
      </c>
      <c r="H547" t="s">
        <v>35</v>
      </c>
      <c r="I547">
        <v>2023</v>
      </c>
      <c r="J547">
        <v>67</v>
      </c>
      <c r="K547" t="s">
        <v>19</v>
      </c>
      <c r="L547" t="s">
        <v>26</v>
      </c>
      <c r="M547">
        <v>2</v>
      </c>
      <c r="N547" t="s">
        <v>19</v>
      </c>
      <c r="O547">
        <v>10000</v>
      </c>
      <c r="P547" t="str" cm="1">
        <f t="array" ref="P547">_xlfn.IFS(Hospital_Patient[[#This Row],[Age]]&lt;=18,"Young",Hospital_Patient[[#This Row],[Age]]&lt;=36,"Adult",Hospital_Patient[[#This Row],[Age]]&lt;=60,"Middle Age",Hospital_Patient[[#This Row],[Age]]&gt;60,"Senior")</f>
        <v>Senior</v>
      </c>
      <c r="Q547" t="str" cm="1">
        <f t="array" ref="Q5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47">
        <f>YEAR(Hospital_Patient[[#This Row],[Discharge_Date]])</f>
        <v>2023</v>
      </c>
    </row>
    <row r="548" spans="1:18" x14ac:dyDescent="0.25">
      <c r="A548">
        <v>345</v>
      </c>
      <c r="B548">
        <v>53</v>
      </c>
      <c r="C548" t="s">
        <v>15</v>
      </c>
      <c r="D548" t="s">
        <v>33</v>
      </c>
      <c r="E548" t="s">
        <v>34</v>
      </c>
      <c r="F548" s="5">
        <v>45195</v>
      </c>
      <c r="G548" s="5">
        <v>45228</v>
      </c>
      <c r="H548" t="s">
        <v>62</v>
      </c>
      <c r="I548">
        <v>2023</v>
      </c>
      <c r="J548">
        <v>33</v>
      </c>
      <c r="K548" t="s">
        <v>21</v>
      </c>
      <c r="L548" t="s">
        <v>20</v>
      </c>
      <c r="M548">
        <v>4</v>
      </c>
      <c r="N548" t="s">
        <v>19</v>
      </c>
      <c r="O548">
        <v>25000</v>
      </c>
      <c r="P548" t="str" cm="1">
        <f t="array" ref="P548">_xlfn.IFS(Hospital_Patient[[#This Row],[Age]]&lt;=18,"Young",Hospital_Patient[[#This Row],[Age]]&lt;=36,"Adult",Hospital_Patient[[#This Row],[Age]]&lt;=60,"Middle Age",Hospital_Patient[[#This Row],[Age]]&gt;60,"Senior")</f>
        <v>Middle Age</v>
      </c>
      <c r="Q548" t="str" cm="1">
        <f t="array" ref="Q5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48">
        <f>YEAR(Hospital_Patient[[#This Row],[Discharge_Date]])</f>
        <v>2023</v>
      </c>
    </row>
    <row r="549" spans="1:18" hidden="1" x14ac:dyDescent="0.25">
      <c r="A549">
        <v>822</v>
      </c>
      <c r="B549">
        <v>28</v>
      </c>
      <c r="C549" t="s">
        <v>22</v>
      </c>
      <c r="D549" t="s">
        <v>47</v>
      </c>
      <c r="E549" t="s">
        <v>48</v>
      </c>
      <c r="F549" s="5">
        <v>45172</v>
      </c>
      <c r="G549" s="5">
        <v>45228</v>
      </c>
      <c r="H549" t="s">
        <v>18</v>
      </c>
      <c r="I549">
        <v>2023</v>
      </c>
      <c r="J549">
        <v>56</v>
      </c>
      <c r="K549" t="s">
        <v>19</v>
      </c>
      <c r="L549" t="s">
        <v>20</v>
      </c>
      <c r="M549">
        <v>5</v>
      </c>
      <c r="N549" t="s">
        <v>21</v>
      </c>
      <c r="O549">
        <v>100</v>
      </c>
      <c r="P549" t="str" cm="1">
        <f t="array" ref="P549">_xlfn.IFS(Hospital_Patient[[#This Row],[Age]]&lt;=18,"Young",Hospital_Patient[[#This Row],[Age]]&lt;=36,"Adult",Hospital_Patient[[#This Row],[Age]]&lt;=60,"Middle Age",Hospital_Patient[[#This Row],[Age]]&gt;60,"Senior")</f>
        <v>Adult</v>
      </c>
      <c r="Q549" t="str" cm="1">
        <f t="array" ref="Q5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49">
        <f>YEAR(Hospital_Patient[[#This Row],[Discharge_Date]])</f>
        <v>2023</v>
      </c>
    </row>
    <row r="550" spans="1:18" hidden="1" x14ac:dyDescent="0.25">
      <c r="A550">
        <v>181</v>
      </c>
      <c r="B550">
        <v>70</v>
      </c>
      <c r="C550" t="s">
        <v>22</v>
      </c>
      <c r="D550" t="s">
        <v>30</v>
      </c>
      <c r="E550" t="s">
        <v>31</v>
      </c>
      <c r="F550" s="5">
        <v>45208</v>
      </c>
      <c r="G550" s="5">
        <v>45227</v>
      </c>
      <c r="H550" t="s">
        <v>63</v>
      </c>
      <c r="I550">
        <v>2023</v>
      </c>
      <c r="J550">
        <v>19</v>
      </c>
      <c r="K550" t="s">
        <v>21</v>
      </c>
      <c r="L550" t="s">
        <v>26</v>
      </c>
      <c r="M550">
        <v>2</v>
      </c>
      <c r="N550" t="s">
        <v>19</v>
      </c>
      <c r="O550">
        <v>10000</v>
      </c>
      <c r="P550" t="str" cm="1">
        <f t="array" ref="P550">_xlfn.IFS(Hospital_Patient[[#This Row],[Age]]&lt;=18,"Young",Hospital_Patient[[#This Row],[Age]]&lt;=36,"Adult",Hospital_Patient[[#This Row],[Age]]&lt;=60,"Middle Age",Hospital_Patient[[#This Row],[Age]]&gt;60,"Senior")</f>
        <v>Senior</v>
      </c>
      <c r="Q550" t="str" cm="1">
        <f t="array" ref="Q5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50">
        <f>YEAR(Hospital_Patient[[#This Row],[Discharge_Date]])</f>
        <v>2023</v>
      </c>
    </row>
    <row r="551" spans="1:18" hidden="1" x14ac:dyDescent="0.25">
      <c r="A551">
        <v>582</v>
      </c>
      <c r="B551">
        <v>72</v>
      </c>
      <c r="C551" t="s">
        <v>22</v>
      </c>
      <c r="D551" t="s">
        <v>36</v>
      </c>
      <c r="E551" t="s">
        <v>37</v>
      </c>
      <c r="F551" s="5">
        <v>45182</v>
      </c>
      <c r="G551" s="5">
        <v>45225</v>
      </c>
      <c r="H551" t="s">
        <v>25</v>
      </c>
      <c r="I551">
        <v>2023</v>
      </c>
      <c r="J551">
        <v>43</v>
      </c>
      <c r="K551" t="s">
        <v>19</v>
      </c>
      <c r="L551" t="s">
        <v>26</v>
      </c>
      <c r="M551">
        <v>4</v>
      </c>
      <c r="N551" t="s">
        <v>21</v>
      </c>
      <c r="O551">
        <v>1000</v>
      </c>
      <c r="P551" t="str" cm="1">
        <f t="array" ref="P551">_xlfn.IFS(Hospital_Patient[[#This Row],[Age]]&lt;=18,"Young",Hospital_Patient[[#This Row],[Age]]&lt;=36,"Adult",Hospital_Patient[[#This Row],[Age]]&lt;=60,"Middle Age",Hospital_Patient[[#This Row],[Age]]&gt;60,"Senior")</f>
        <v>Senior</v>
      </c>
      <c r="Q551" t="str" cm="1">
        <f t="array" ref="Q5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51">
        <f>YEAR(Hospital_Patient[[#This Row],[Discharge_Date]])</f>
        <v>2023</v>
      </c>
    </row>
    <row r="552" spans="1:18" x14ac:dyDescent="0.25">
      <c r="A552">
        <v>544</v>
      </c>
      <c r="B552">
        <v>32</v>
      </c>
      <c r="C552" t="s">
        <v>15</v>
      </c>
      <c r="D552" t="s">
        <v>54</v>
      </c>
      <c r="E552" t="s">
        <v>55</v>
      </c>
      <c r="F552" s="5">
        <v>45184</v>
      </c>
      <c r="G552" s="5">
        <v>45223</v>
      </c>
      <c r="H552" t="s">
        <v>76</v>
      </c>
      <c r="I552">
        <v>2023</v>
      </c>
      <c r="J552">
        <v>39</v>
      </c>
      <c r="K552" t="s">
        <v>19</v>
      </c>
      <c r="L552" t="s">
        <v>20</v>
      </c>
      <c r="M552">
        <v>4</v>
      </c>
      <c r="N552" t="s">
        <v>19</v>
      </c>
      <c r="O552">
        <v>12000</v>
      </c>
      <c r="P552" t="str" cm="1">
        <f t="array" ref="P552">_xlfn.IFS(Hospital_Patient[[#This Row],[Age]]&lt;=18,"Young",Hospital_Patient[[#This Row],[Age]]&lt;=36,"Adult",Hospital_Patient[[#This Row],[Age]]&lt;=60,"Middle Age",Hospital_Patient[[#This Row],[Age]]&gt;60,"Senior")</f>
        <v>Adult</v>
      </c>
      <c r="Q552" t="str" cm="1">
        <f t="array" ref="Q5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52">
        <f>YEAR(Hospital_Patient[[#This Row],[Discharge_Date]])</f>
        <v>2023</v>
      </c>
    </row>
    <row r="553" spans="1:18" x14ac:dyDescent="0.25">
      <c r="A553">
        <v>168</v>
      </c>
      <c r="B553">
        <v>53</v>
      </c>
      <c r="C553" t="s">
        <v>15</v>
      </c>
      <c r="D553" t="s">
        <v>33</v>
      </c>
      <c r="E553" t="s">
        <v>34</v>
      </c>
      <c r="F553" s="5">
        <v>45201</v>
      </c>
      <c r="G553" s="5">
        <v>45222</v>
      </c>
      <c r="H553" t="s">
        <v>62</v>
      </c>
      <c r="I553">
        <v>2023</v>
      </c>
      <c r="J553">
        <v>21</v>
      </c>
      <c r="K553" t="s">
        <v>21</v>
      </c>
      <c r="L553" t="s">
        <v>20</v>
      </c>
      <c r="M553">
        <v>4</v>
      </c>
      <c r="N553" t="s">
        <v>21</v>
      </c>
      <c r="O553">
        <v>25000</v>
      </c>
      <c r="P553" t="str" cm="1">
        <f t="array" ref="P553">_xlfn.IFS(Hospital_Patient[[#This Row],[Age]]&lt;=18,"Young",Hospital_Patient[[#This Row],[Age]]&lt;=36,"Adult",Hospital_Patient[[#This Row],[Age]]&lt;=60,"Middle Age",Hospital_Patient[[#This Row],[Age]]&gt;60,"Senior")</f>
        <v>Middle Age</v>
      </c>
      <c r="Q553" t="str" cm="1">
        <f t="array" ref="Q5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53">
        <f>YEAR(Hospital_Patient[[#This Row],[Discharge_Date]])</f>
        <v>2023</v>
      </c>
    </row>
    <row r="554" spans="1:18" hidden="1" x14ac:dyDescent="0.25">
      <c r="A554">
        <v>495</v>
      </c>
      <c r="B554">
        <v>45</v>
      </c>
      <c r="C554" t="s">
        <v>22</v>
      </c>
      <c r="D554" t="s">
        <v>42</v>
      </c>
      <c r="E554" t="s">
        <v>43</v>
      </c>
      <c r="F554" s="5">
        <v>45183</v>
      </c>
      <c r="G554" s="5">
        <v>45222</v>
      </c>
      <c r="H554" t="s">
        <v>44</v>
      </c>
      <c r="I554">
        <v>2023</v>
      </c>
      <c r="J554">
        <v>39</v>
      </c>
      <c r="K554" t="s">
        <v>19</v>
      </c>
      <c r="L554" t="s">
        <v>20</v>
      </c>
      <c r="M554">
        <v>4</v>
      </c>
      <c r="N554" t="s">
        <v>19</v>
      </c>
      <c r="O554">
        <v>3000</v>
      </c>
      <c r="P554" t="str" cm="1">
        <f t="array" ref="P554">_xlfn.IFS(Hospital_Patient[[#This Row],[Age]]&lt;=18,"Young",Hospital_Patient[[#This Row],[Age]]&lt;=36,"Adult",Hospital_Patient[[#This Row],[Age]]&lt;=60,"Middle Age",Hospital_Patient[[#This Row],[Age]]&gt;60,"Senior")</f>
        <v>Middle Age</v>
      </c>
      <c r="Q554" t="str" cm="1">
        <f t="array" ref="Q5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54">
        <f>YEAR(Hospital_Patient[[#This Row],[Discharge_Date]])</f>
        <v>2023</v>
      </c>
    </row>
    <row r="555" spans="1:18" x14ac:dyDescent="0.25">
      <c r="A555">
        <v>197</v>
      </c>
      <c r="B555">
        <v>53</v>
      </c>
      <c r="C555" t="s">
        <v>15</v>
      </c>
      <c r="D555" t="s">
        <v>33</v>
      </c>
      <c r="E555" t="s">
        <v>34</v>
      </c>
      <c r="F555" s="5">
        <v>45197</v>
      </c>
      <c r="G555" s="5">
        <v>45220</v>
      </c>
      <c r="H555" t="s">
        <v>35</v>
      </c>
      <c r="I555">
        <v>2023</v>
      </c>
      <c r="J555">
        <v>23</v>
      </c>
      <c r="K555" t="s">
        <v>21</v>
      </c>
      <c r="L555" t="s">
        <v>20</v>
      </c>
      <c r="M555">
        <v>4</v>
      </c>
      <c r="N555" t="s">
        <v>19</v>
      </c>
      <c r="O555">
        <v>25000</v>
      </c>
      <c r="P555" t="str" cm="1">
        <f t="array" ref="P555">_xlfn.IFS(Hospital_Patient[[#This Row],[Age]]&lt;=18,"Young",Hospital_Patient[[#This Row],[Age]]&lt;=36,"Adult",Hospital_Patient[[#This Row],[Age]]&lt;=60,"Middle Age",Hospital_Patient[[#This Row],[Age]]&gt;60,"Senior")</f>
        <v>Middle Age</v>
      </c>
      <c r="Q555" t="str" cm="1">
        <f t="array" ref="Q5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55">
        <f>YEAR(Hospital_Patient[[#This Row],[Discharge_Date]])</f>
        <v>2023</v>
      </c>
    </row>
    <row r="556" spans="1:18" hidden="1" x14ac:dyDescent="0.25">
      <c r="A556">
        <v>305</v>
      </c>
      <c r="B556">
        <v>25</v>
      </c>
      <c r="C556" t="s">
        <v>22</v>
      </c>
      <c r="D556" t="s">
        <v>47</v>
      </c>
      <c r="E556" t="s">
        <v>48</v>
      </c>
      <c r="F556" s="5">
        <v>45197</v>
      </c>
      <c r="G556" s="5">
        <v>45218</v>
      </c>
      <c r="H556" t="s">
        <v>74</v>
      </c>
      <c r="I556">
        <v>2023</v>
      </c>
      <c r="J556">
        <v>21</v>
      </c>
      <c r="K556" t="s">
        <v>19</v>
      </c>
      <c r="L556" t="s">
        <v>20</v>
      </c>
      <c r="M556">
        <v>5</v>
      </c>
      <c r="N556" t="s">
        <v>21</v>
      </c>
      <c r="O556">
        <v>100</v>
      </c>
      <c r="P556" t="str" cm="1">
        <f t="array" ref="P556">_xlfn.IFS(Hospital_Patient[[#This Row],[Age]]&lt;=18,"Young",Hospital_Patient[[#This Row],[Age]]&lt;=36,"Adult",Hospital_Patient[[#This Row],[Age]]&lt;=60,"Middle Age",Hospital_Patient[[#This Row],[Age]]&gt;60,"Senior")</f>
        <v>Adult</v>
      </c>
      <c r="Q556" t="str" cm="1">
        <f t="array" ref="Q5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56">
        <f>YEAR(Hospital_Patient[[#This Row],[Discharge_Date]])</f>
        <v>2023</v>
      </c>
    </row>
    <row r="557" spans="1:18" hidden="1" x14ac:dyDescent="0.25">
      <c r="A557">
        <v>748</v>
      </c>
      <c r="B557">
        <v>25</v>
      </c>
      <c r="C557" t="s">
        <v>22</v>
      </c>
      <c r="D557" t="s">
        <v>47</v>
      </c>
      <c r="E557" t="s">
        <v>48</v>
      </c>
      <c r="F557" s="5">
        <v>45167</v>
      </c>
      <c r="G557" s="5">
        <v>45218</v>
      </c>
      <c r="H557" t="s">
        <v>73</v>
      </c>
      <c r="I557">
        <v>2023</v>
      </c>
      <c r="J557">
        <v>51</v>
      </c>
      <c r="K557" t="s">
        <v>19</v>
      </c>
      <c r="L557" t="s">
        <v>20</v>
      </c>
      <c r="M557">
        <v>5</v>
      </c>
      <c r="N557" t="s">
        <v>19</v>
      </c>
      <c r="O557">
        <v>100</v>
      </c>
      <c r="P557" t="str" cm="1">
        <f t="array" ref="P557">_xlfn.IFS(Hospital_Patient[[#This Row],[Age]]&lt;=18,"Young",Hospital_Patient[[#This Row],[Age]]&lt;=36,"Adult",Hospital_Patient[[#This Row],[Age]]&lt;=60,"Middle Age",Hospital_Patient[[#This Row],[Age]]&gt;60,"Senior")</f>
        <v>Adult</v>
      </c>
      <c r="Q557" t="str" cm="1">
        <f t="array" ref="Q5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57">
        <f>YEAR(Hospital_Patient[[#This Row],[Discharge_Date]])</f>
        <v>2023</v>
      </c>
    </row>
    <row r="558" spans="1:18" hidden="1" x14ac:dyDescent="0.25">
      <c r="A558">
        <v>855</v>
      </c>
      <c r="B558">
        <v>50</v>
      </c>
      <c r="C558" t="s">
        <v>22</v>
      </c>
      <c r="D558" t="s">
        <v>57</v>
      </c>
      <c r="E558" t="s">
        <v>58</v>
      </c>
      <c r="F558" s="5">
        <v>45157</v>
      </c>
      <c r="G558" s="5">
        <v>45218</v>
      </c>
      <c r="H558" t="s">
        <v>44</v>
      </c>
      <c r="I558">
        <v>2023</v>
      </c>
      <c r="J558">
        <v>61</v>
      </c>
      <c r="K558" t="s">
        <v>19</v>
      </c>
      <c r="L558" t="s">
        <v>20</v>
      </c>
      <c r="M558">
        <v>3</v>
      </c>
      <c r="N558" t="s">
        <v>19</v>
      </c>
      <c r="O558">
        <v>6000</v>
      </c>
      <c r="P558" t="str" cm="1">
        <f t="array" ref="P558">_xlfn.IFS(Hospital_Patient[[#This Row],[Age]]&lt;=18,"Young",Hospital_Patient[[#This Row],[Age]]&lt;=36,"Adult",Hospital_Patient[[#This Row],[Age]]&lt;=60,"Middle Age",Hospital_Patient[[#This Row],[Age]]&gt;60,"Senior")</f>
        <v>Middle Age</v>
      </c>
      <c r="Q558" t="str" cm="1">
        <f t="array" ref="Q5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58">
        <f>YEAR(Hospital_Patient[[#This Row],[Discharge_Date]])</f>
        <v>2023</v>
      </c>
    </row>
    <row r="559" spans="1:18" x14ac:dyDescent="0.25">
      <c r="A559">
        <v>87</v>
      </c>
      <c r="B559">
        <v>35</v>
      </c>
      <c r="C559" t="s">
        <v>15</v>
      </c>
      <c r="D559" t="s">
        <v>54</v>
      </c>
      <c r="E559" t="s">
        <v>55</v>
      </c>
      <c r="F559" s="5">
        <v>45208</v>
      </c>
      <c r="G559" s="5">
        <v>45216</v>
      </c>
      <c r="H559" t="s">
        <v>56</v>
      </c>
      <c r="I559">
        <v>2023</v>
      </c>
      <c r="J559">
        <v>8</v>
      </c>
      <c r="K559" t="s">
        <v>19</v>
      </c>
      <c r="L559" t="s">
        <v>20</v>
      </c>
      <c r="M559">
        <v>4</v>
      </c>
      <c r="N559" t="s">
        <v>21</v>
      </c>
      <c r="O559">
        <v>12000</v>
      </c>
      <c r="P559" t="str" cm="1">
        <f t="array" ref="P559">_xlfn.IFS(Hospital_Patient[[#This Row],[Age]]&lt;=18,"Young",Hospital_Patient[[#This Row],[Age]]&lt;=36,"Adult",Hospital_Patient[[#This Row],[Age]]&lt;=60,"Middle Age",Hospital_Patient[[#This Row],[Age]]&gt;60,"Senior")</f>
        <v>Adult</v>
      </c>
      <c r="Q559" t="str" cm="1">
        <f t="array" ref="Q5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59">
        <f>YEAR(Hospital_Patient[[#This Row],[Discharge_Date]])</f>
        <v>2023</v>
      </c>
    </row>
    <row r="560" spans="1:18" hidden="1" x14ac:dyDescent="0.25">
      <c r="A560">
        <v>377</v>
      </c>
      <c r="B560">
        <v>45</v>
      </c>
      <c r="C560" t="s">
        <v>22</v>
      </c>
      <c r="D560" t="s">
        <v>42</v>
      </c>
      <c r="E560" t="s">
        <v>43</v>
      </c>
      <c r="F560" s="5">
        <v>45185</v>
      </c>
      <c r="G560" s="5">
        <v>45216</v>
      </c>
      <c r="H560" t="s">
        <v>70</v>
      </c>
      <c r="I560">
        <v>2023</v>
      </c>
      <c r="J560">
        <v>31</v>
      </c>
      <c r="K560" t="s">
        <v>19</v>
      </c>
      <c r="L560" t="s">
        <v>20</v>
      </c>
      <c r="M560">
        <v>4</v>
      </c>
      <c r="N560" t="s">
        <v>19</v>
      </c>
      <c r="O560">
        <v>3000</v>
      </c>
      <c r="P560" t="str" cm="1">
        <f t="array" ref="P560">_xlfn.IFS(Hospital_Patient[[#This Row],[Age]]&lt;=18,"Young",Hospital_Patient[[#This Row],[Age]]&lt;=36,"Adult",Hospital_Patient[[#This Row],[Age]]&lt;=60,"Middle Age",Hospital_Patient[[#This Row],[Age]]&gt;60,"Senior")</f>
        <v>Middle Age</v>
      </c>
      <c r="Q560" t="str" cm="1">
        <f t="array" ref="Q5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0">
        <f>YEAR(Hospital_Patient[[#This Row],[Discharge_Date]])</f>
        <v>2023</v>
      </c>
    </row>
    <row r="561" spans="1:18" x14ac:dyDescent="0.25">
      <c r="A561">
        <v>102</v>
      </c>
      <c r="B561">
        <v>32</v>
      </c>
      <c r="C561" t="s">
        <v>15</v>
      </c>
      <c r="D561" t="s">
        <v>54</v>
      </c>
      <c r="E561" t="s">
        <v>55</v>
      </c>
      <c r="F561" s="5">
        <v>45204</v>
      </c>
      <c r="G561" s="5">
        <v>45213</v>
      </c>
      <c r="H561" t="s">
        <v>56</v>
      </c>
      <c r="I561">
        <v>2023</v>
      </c>
      <c r="J561">
        <v>9</v>
      </c>
      <c r="K561" t="s">
        <v>19</v>
      </c>
      <c r="L561" t="s">
        <v>20</v>
      </c>
      <c r="M561">
        <v>4</v>
      </c>
      <c r="N561" t="s">
        <v>19</v>
      </c>
      <c r="O561">
        <v>12000</v>
      </c>
      <c r="P561" t="str" cm="1">
        <f t="array" ref="P561">_xlfn.IFS(Hospital_Patient[[#This Row],[Age]]&lt;=18,"Young",Hospital_Patient[[#This Row],[Age]]&lt;=36,"Adult",Hospital_Patient[[#This Row],[Age]]&lt;=60,"Middle Age",Hospital_Patient[[#This Row],[Age]]&gt;60,"Senior")</f>
        <v>Adult</v>
      </c>
      <c r="Q561" t="str" cm="1">
        <f t="array" ref="Q5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61">
        <f>YEAR(Hospital_Patient[[#This Row],[Discharge_Date]])</f>
        <v>2023</v>
      </c>
    </row>
    <row r="562" spans="1:18" x14ac:dyDescent="0.25">
      <c r="A562">
        <v>671</v>
      </c>
      <c r="B562">
        <v>60</v>
      </c>
      <c r="C562" t="s">
        <v>15</v>
      </c>
      <c r="D562" t="s">
        <v>39</v>
      </c>
      <c r="E562" t="s">
        <v>40</v>
      </c>
      <c r="F562" s="5">
        <v>45162</v>
      </c>
      <c r="G562" s="5">
        <v>45213</v>
      </c>
      <c r="H562" t="s">
        <v>72</v>
      </c>
      <c r="I562">
        <v>2023</v>
      </c>
      <c r="J562">
        <v>51</v>
      </c>
      <c r="K562" t="s">
        <v>21</v>
      </c>
      <c r="L562" t="s">
        <v>20</v>
      </c>
      <c r="M562">
        <v>3</v>
      </c>
      <c r="N562" t="s">
        <v>19</v>
      </c>
      <c r="O562">
        <v>8000</v>
      </c>
      <c r="P562" t="str" cm="1">
        <f t="array" ref="P562">_xlfn.IFS(Hospital_Patient[[#This Row],[Age]]&lt;=18,"Young",Hospital_Patient[[#This Row],[Age]]&lt;=36,"Adult",Hospital_Patient[[#This Row],[Age]]&lt;=60,"Middle Age",Hospital_Patient[[#This Row],[Age]]&gt;60,"Senior")</f>
        <v>Middle Age</v>
      </c>
      <c r="Q562" t="str" cm="1">
        <f t="array" ref="Q5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2">
        <f>YEAR(Hospital_Patient[[#This Row],[Discharge_Date]])</f>
        <v>2023</v>
      </c>
    </row>
    <row r="563" spans="1:18" hidden="1" x14ac:dyDescent="0.25">
      <c r="A563">
        <v>65</v>
      </c>
      <c r="B563">
        <v>68</v>
      </c>
      <c r="C563" t="s">
        <v>22</v>
      </c>
      <c r="D563" t="s">
        <v>36</v>
      </c>
      <c r="E563" t="s">
        <v>37</v>
      </c>
      <c r="F563" s="5">
        <v>45203</v>
      </c>
      <c r="G563" s="5">
        <v>45209</v>
      </c>
      <c r="H563" t="s">
        <v>18</v>
      </c>
      <c r="I563">
        <v>2023</v>
      </c>
      <c r="J563">
        <v>6</v>
      </c>
      <c r="K563" t="s">
        <v>19</v>
      </c>
      <c r="L563" t="s">
        <v>26</v>
      </c>
      <c r="M563">
        <v>4</v>
      </c>
      <c r="N563" t="s">
        <v>19</v>
      </c>
      <c r="O563">
        <v>1000</v>
      </c>
      <c r="P563" t="str" cm="1">
        <f t="array" ref="P563">_xlfn.IFS(Hospital_Patient[[#This Row],[Age]]&lt;=18,"Young",Hospital_Patient[[#This Row],[Age]]&lt;=36,"Adult",Hospital_Patient[[#This Row],[Age]]&lt;=60,"Middle Age",Hospital_Patient[[#This Row],[Age]]&gt;60,"Senior")</f>
        <v>Senior</v>
      </c>
      <c r="Q563" t="str" cm="1">
        <f t="array" ref="Q5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63">
        <f>YEAR(Hospital_Patient[[#This Row],[Discharge_Date]])</f>
        <v>2023</v>
      </c>
    </row>
    <row r="564" spans="1:18" x14ac:dyDescent="0.25">
      <c r="A564">
        <v>782</v>
      </c>
      <c r="B564">
        <v>65</v>
      </c>
      <c r="C564" t="s">
        <v>15</v>
      </c>
      <c r="D564" t="s">
        <v>59</v>
      </c>
      <c r="E564" t="s">
        <v>60</v>
      </c>
      <c r="F564" s="5">
        <v>45149</v>
      </c>
      <c r="G564" s="5">
        <v>45206</v>
      </c>
      <c r="H564" t="s">
        <v>73</v>
      </c>
      <c r="I564">
        <v>2023</v>
      </c>
      <c r="J564">
        <v>57</v>
      </c>
      <c r="K564" t="s">
        <v>19</v>
      </c>
      <c r="L564" t="s">
        <v>26</v>
      </c>
      <c r="M564">
        <v>4</v>
      </c>
      <c r="N564" t="s">
        <v>21</v>
      </c>
      <c r="O564">
        <v>4000</v>
      </c>
      <c r="P564" t="str" cm="1">
        <f t="array" ref="P564">_xlfn.IFS(Hospital_Patient[[#This Row],[Age]]&lt;=18,"Young",Hospital_Patient[[#This Row],[Age]]&lt;=36,"Adult",Hospital_Patient[[#This Row],[Age]]&lt;=60,"Middle Age",Hospital_Patient[[#This Row],[Age]]&gt;60,"Senior")</f>
        <v>Senior</v>
      </c>
      <c r="Q564" t="str" cm="1">
        <f t="array" ref="Q5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4">
        <f>YEAR(Hospital_Patient[[#This Row],[Discharge_Date]])</f>
        <v>2023</v>
      </c>
    </row>
    <row r="565" spans="1:18" hidden="1" x14ac:dyDescent="0.25">
      <c r="A565">
        <v>727</v>
      </c>
      <c r="B565">
        <v>78</v>
      </c>
      <c r="C565" t="s">
        <v>22</v>
      </c>
      <c r="D565" t="s">
        <v>30</v>
      </c>
      <c r="E565" t="s">
        <v>31</v>
      </c>
      <c r="F565" s="5">
        <v>45147</v>
      </c>
      <c r="G565" s="5">
        <v>45204</v>
      </c>
      <c r="H565" t="s">
        <v>63</v>
      </c>
      <c r="I565">
        <v>2023</v>
      </c>
      <c r="J565">
        <v>57</v>
      </c>
      <c r="K565" t="s">
        <v>19</v>
      </c>
      <c r="L565" t="s">
        <v>26</v>
      </c>
      <c r="M565">
        <v>2</v>
      </c>
      <c r="N565" t="s">
        <v>19</v>
      </c>
      <c r="O565">
        <v>10000</v>
      </c>
      <c r="P565" t="str" cm="1">
        <f t="array" ref="P565">_xlfn.IFS(Hospital_Patient[[#This Row],[Age]]&lt;=18,"Young",Hospital_Patient[[#This Row],[Age]]&lt;=36,"Adult",Hospital_Patient[[#This Row],[Age]]&lt;=60,"Middle Age",Hospital_Patient[[#This Row],[Age]]&gt;60,"Senior")</f>
        <v>Senior</v>
      </c>
      <c r="Q565" t="str" cm="1">
        <f t="array" ref="Q5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5">
        <f>YEAR(Hospital_Patient[[#This Row],[Discharge_Date]])</f>
        <v>2023</v>
      </c>
    </row>
    <row r="566" spans="1:18" hidden="1" x14ac:dyDescent="0.25">
      <c r="A566">
        <v>316</v>
      </c>
      <c r="B566">
        <v>72</v>
      </c>
      <c r="C566" t="s">
        <v>22</v>
      </c>
      <c r="D566" t="s">
        <v>36</v>
      </c>
      <c r="E566" t="s">
        <v>37</v>
      </c>
      <c r="F566" s="5">
        <v>45180</v>
      </c>
      <c r="G566" s="5">
        <v>45203</v>
      </c>
      <c r="H566" t="s">
        <v>38</v>
      </c>
      <c r="I566">
        <v>2023</v>
      </c>
      <c r="J566">
        <v>23</v>
      </c>
      <c r="K566" t="s">
        <v>19</v>
      </c>
      <c r="L566" t="s">
        <v>26</v>
      </c>
      <c r="M566">
        <v>4</v>
      </c>
      <c r="N566" t="s">
        <v>19</v>
      </c>
      <c r="O566">
        <v>1000</v>
      </c>
      <c r="P566" t="str" cm="1">
        <f t="array" ref="P566">_xlfn.IFS(Hospital_Patient[[#This Row],[Age]]&lt;=18,"Young",Hospital_Patient[[#This Row],[Age]]&lt;=36,"Adult",Hospital_Patient[[#This Row],[Age]]&lt;=60,"Middle Age",Hospital_Patient[[#This Row],[Age]]&gt;60,"Senior")</f>
        <v>Senior</v>
      </c>
      <c r="Q566" t="str" cm="1">
        <f t="array" ref="Q5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66">
        <f>YEAR(Hospital_Patient[[#This Row],[Discharge_Date]])</f>
        <v>2023</v>
      </c>
    </row>
    <row r="567" spans="1:18" x14ac:dyDescent="0.25">
      <c r="A567">
        <v>538</v>
      </c>
      <c r="B567">
        <v>45</v>
      </c>
      <c r="C567" t="s">
        <v>15</v>
      </c>
      <c r="D567" t="s">
        <v>39</v>
      </c>
      <c r="E567" t="s">
        <v>40</v>
      </c>
      <c r="F567" s="5">
        <v>45159</v>
      </c>
      <c r="G567" s="5">
        <v>45201</v>
      </c>
      <c r="H567" t="s">
        <v>73</v>
      </c>
      <c r="I567">
        <v>2023</v>
      </c>
      <c r="J567">
        <v>42</v>
      </c>
      <c r="K567" t="s">
        <v>19</v>
      </c>
      <c r="L567" t="s">
        <v>20</v>
      </c>
      <c r="M567">
        <v>3</v>
      </c>
      <c r="N567" t="s">
        <v>19</v>
      </c>
      <c r="O567">
        <v>8000</v>
      </c>
      <c r="P567" t="str" cm="1">
        <f t="array" ref="P567">_xlfn.IFS(Hospital_Patient[[#This Row],[Age]]&lt;=18,"Young",Hospital_Patient[[#This Row],[Age]]&lt;=36,"Adult",Hospital_Patient[[#This Row],[Age]]&lt;=60,"Middle Age",Hospital_Patient[[#This Row],[Age]]&gt;60,"Senior")</f>
        <v>Middle Age</v>
      </c>
      <c r="Q567" t="str" cm="1">
        <f t="array" ref="Q5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7">
        <f>YEAR(Hospital_Patient[[#This Row],[Discharge_Date]])</f>
        <v>2023</v>
      </c>
    </row>
    <row r="568" spans="1:18" x14ac:dyDescent="0.25">
      <c r="A568">
        <v>511</v>
      </c>
      <c r="B568">
        <v>78</v>
      </c>
      <c r="C568" t="s">
        <v>15</v>
      </c>
      <c r="D568" t="s">
        <v>45</v>
      </c>
      <c r="E568" t="s">
        <v>46</v>
      </c>
      <c r="F568" s="5">
        <v>45158</v>
      </c>
      <c r="G568" s="5">
        <v>45200</v>
      </c>
      <c r="H568" t="s">
        <v>69</v>
      </c>
      <c r="I568">
        <v>2023</v>
      </c>
      <c r="J568">
        <v>42</v>
      </c>
      <c r="K568" t="s">
        <v>21</v>
      </c>
      <c r="L568" t="s">
        <v>26</v>
      </c>
      <c r="M568">
        <v>2</v>
      </c>
      <c r="N568" t="s">
        <v>19</v>
      </c>
      <c r="O568">
        <v>18000</v>
      </c>
      <c r="P568" t="str" cm="1">
        <f t="array" ref="P568">_xlfn.IFS(Hospital_Patient[[#This Row],[Age]]&lt;=18,"Young",Hospital_Patient[[#This Row],[Age]]&lt;=36,"Adult",Hospital_Patient[[#This Row],[Age]]&lt;=60,"Middle Age",Hospital_Patient[[#This Row],[Age]]&gt;60,"Senior")</f>
        <v>Senior</v>
      </c>
      <c r="Q568" t="str" cm="1">
        <f t="array" ref="Q5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68">
        <f>YEAR(Hospital_Patient[[#This Row],[Discharge_Date]])</f>
        <v>2023</v>
      </c>
    </row>
    <row r="569" spans="1:18" hidden="1" x14ac:dyDescent="0.25">
      <c r="A569">
        <v>132</v>
      </c>
      <c r="B569">
        <v>55</v>
      </c>
      <c r="C569" t="s">
        <v>22</v>
      </c>
      <c r="D569" t="s">
        <v>57</v>
      </c>
      <c r="E569" t="s">
        <v>58</v>
      </c>
      <c r="F569" s="5">
        <v>45187</v>
      </c>
      <c r="G569" s="5">
        <v>45199</v>
      </c>
      <c r="H569" t="s">
        <v>51</v>
      </c>
      <c r="I569">
        <v>2023</v>
      </c>
      <c r="J569">
        <v>12</v>
      </c>
      <c r="K569" t="s">
        <v>19</v>
      </c>
      <c r="L569" t="s">
        <v>20</v>
      </c>
      <c r="M569">
        <v>3</v>
      </c>
      <c r="N569" t="s">
        <v>19</v>
      </c>
      <c r="O569">
        <v>6000</v>
      </c>
      <c r="P569" t="str" cm="1">
        <f t="array" ref="P569">_xlfn.IFS(Hospital_Patient[[#This Row],[Age]]&lt;=18,"Young",Hospital_Patient[[#This Row],[Age]]&lt;=36,"Adult",Hospital_Patient[[#This Row],[Age]]&lt;=60,"Middle Age",Hospital_Patient[[#This Row],[Age]]&gt;60,"Senior")</f>
        <v>Middle Age</v>
      </c>
      <c r="Q569" t="str" cm="1">
        <f t="array" ref="Q5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69">
        <f>YEAR(Hospital_Patient[[#This Row],[Discharge_Date]])</f>
        <v>2023</v>
      </c>
    </row>
    <row r="570" spans="1:18" x14ac:dyDescent="0.25">
      <c r="A570">
        <v>201</v>
      </c>
      <c r="B570">
        <v>75</v>
      </c>
      <c r="C570" t="s">
        <v>15</v>
      </c>
      <c r="D570" t="s">
        <v>45</v>
      </c>
      <c r="E570" t="s">
        <v>46</v>
      </c>
      <c r="F570" s="5">
        <v>45178</v>
      </c>
      <c r="G570" s="5">
        <v>45199</v>
      </c>
      <c r="H570" t="s">
        <v>18</v>
      </c>
      <c r="I570">
        <v>2023</v>
      </c>
      <c r="J570">
        <v>21</v>
      </c>
      <c r="K570" t="s">
        <v>21</v>
      </c>
      <c r="L570" t="s">
        <v>26</v>
      </c>
      <c r="M570">
        <v>2</v>
      </c>
      <c r="N570" t="s">
        <v>19</v>
      </c>
      <c r="O570">
        <v>18000</v>
      </c>
      <c r="P570" t="str" cm="1">
        <f t="array" ref="P570">_xlfn.IFS(Hospital_Patient[[#This Row],[Age]]&lt;=18,"Young",Hospital_Patient[[#This Row],[Age]]&lt;=36,"Adult",Hospital_Patient[[#This Row],[Age]]&lt;=60,"Middle Age",Hospital_Patient[[#This Row],[Age]]&gt;60,"Senior")</f>
        <v>Senior</v>
      </c>
      <c r="Q570" t="str" cm="1">
        <f t="array" ref="Q5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70">
        <f>YEAR(Hospital_Patient[[#This Row],[Discharge_Date]])</f>
        <v>2023</v>
      </c>
    </row>
    <row r="571" spans="1:18" hidden="1" x14ac:dyDescent="0.25">
      <c r="A571">
        <v>706</v>
      </c>
      <c r="B571">
        <v>67</v>
      </c>
      <c r="C571" t="s">
        <v>22</v>
      </c>
      <c r="D571" t="s">
        <v>52</v>
      </c>
      <c r="E571" t="s">
        <v>53</v>
      </c>
      <c r="F571" s="5">
        <v>45143</v>
      </c>
      <c r="G571" s="5">
        <v>45199</v>
      </c>
      <c r="H571" t="s">
        <v>18</v>
      </c>
      <c r="I571">
        <v>2023</v>
      </c>
      <c r="J571">
        <v>56</v>
      </c>
      <c r="K571" t="s">
        <v>19</v>
      </c>
      <c r="L571" t="s">
        <v>20</v>
      </c>
      <c r="M571">
        <v>3</v>
      </c>
      <c r="N571" t="s">
        <v>19</v>
      </c>
      <c r="O571">
        <v>20000</v>
      </c>
      <c r="P571" t="str" cm="1">
        <f t="array" ref="P571">_xlfn.IFS(Hospital_Patient[[#This Row],[Age]]&lt;=18,"Young",Hospital_Patient[[#This Row],[Age]]&lt;=36,"Adult",Hospital_Patient[[#This Row],[Age]]&lt;=60,"Middle Age",Hospital_Patient[[#This Row],[Age]]&gt;60,"Senior")</f>
        <v>Senior</v>
      </c>
      <c r="Q571" t="str" cm="1">
        <f t="array" ref="Q5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1">
        <f>YEAR(Hospital_Patient[[#This Row],[Discharge_Date]])</f>
        <v>2023</v>
      </c>
    </row>
    <row r="572" spans="1:18" x14ac:dyDescent="0.25">
      <c r="A572">
        <v>524</v>
      </c>
      <c r="B572">
        <v>60</v>
      </c>
      <c r="C572" t="s">
        <v>15</v>
      </c>
      <c r="D572" t="s">
        <v>39</v>
      </c>
      <c r="E572" t="s">
        <v>40</v>
      </c>
      <c r="F572" s="5">
        <v>45159</v>
      </c>
      <c r="G572" s="5">
        <v>45198</v>
      </c>
      <c r="H572" t="s">
        <v>72</v>
      </c>
      <c r="I572">
        <v>2023</v>
      </c>
      <c r="J572">
        <v>39</v>
      </c>
      <c r="K572" t="s">
        <v>21</v>
      </c>
      <c r="L572" t="s">
        <v>20</v>
      </c>
      <c r="M572">
        <v>3</v>
      </c>
      <c r="N572" t="s">
        <v>19</v>
      </c>
      <c r="O572">
        <v>8000</v>
      </c>
      <c r="P572" t="str" cm="1">
        <f t="array" ref="P572">_xlfn.IFS(Hospital_Patient[[#This Row],[Age]]&lt;=18,"Young",Hospital_Patient[[#This Row],[Age]]&lt;=36,"Adult",Hospital_Patient[[#This Row],[Age]]&lt;=60,"Middle Age",Hospital_Patient[[#This Row],[Age]]&gt;60,"Senior")</f>
        <v>Middle Age</v>
      </c>
      <c r="Q572" t="str" cm="1">
        <f t="array" ref="Q5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2">
        <f>YEAR(Hospital_Patient[[#This Row],[Discharge_Date]])</f>
        <v>2023</v>
      </c>
    </row>
    <row r="573" spans="1:18" x14ac:dyDescent="0.25">
      <c r="A573">
        <v>74</v>
      </c>
      <c r="B573">
        <v>65</v>
      </c>
      <c r="C573" t="s">
        <v>15</v>
      </c>
      <c r="D573" t="s">
        <v>59</v>
      </c>
      <c r="E573" t="s">
        <v>60</v>
      </c>
      <c r="F573" s="5">
        <v>45188</v>
      </c>
      <c r="G573" s="5">
        <v>45197</v>
      </c>
      <c r="H573" t="s">
        <v>75</v>
      </c>
      <c r="I573">
        <v>2023</v>
      </c>
      <c r="J573">
        <v>9</v>
      </c>
      <c r="K573" t="s">
        <v>19</v>
      </c>
      <c r="L573" t="s">
        <v>26</v>
      </c>
      <c r="M573">
        <v>4</v>
      </c>
      <c r="N573" t="s">
        <v>19</v>
      </c>
      <c r="O573">
        <v>4000</v>
      </c>
      <c r="P573" t="str" cm="1">
        <f t="array" ref="P573">_xlfn.IFS(Hospital_Patient[[#This Row],[Age]]&lt;=18,"Young",Hospital_Patient[[#This Row],[Age]]&lt;=36,"Adult",Hospital_Patient[[#This Row],[Age]]&lt;=60,"Middle Age",Hospital_Patient[[#This Row],[Age]]&gt;60,"Senior")</f>
        <v>Senior</v>
      </c>
      <c r="Q573" t="str" cm="1">
        <f t="array" ref="Q5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73">
        <f>YEAR(Hospital_Patient[[#This Row],[Discharge_Date]])</f>
        <v>2023</v>
      </c>
    </row>
    <row r="574" spans="1:18" hidden="1" x14ac:dyDescent="0.25">
      <c r="A574">
        <v>160</v>
      </c>
      <c r="B574">
        <v>58</v>
      </c>
      <c r="C574" t="s">
        <v>22</v>
      </c>
      <c r="D574" t="s">
        <v>52</v>
      </c>
      <c r="E574" t="s">
        <v>53</v>
      </c>
      <c r="F574" s="5">
        <v>45176</v>
      </c>
      <c r="G574" s="5">
        <v>45195</v>
      </c>
      <c r="H574" t="s">
        <v>51</v>
      </c>
      <c r="I574">
        <v>2023</v>
      </c>
      <c r="J574">
        <v>19</v>
      </c>
      <c r="K574" t="s">
        <v>19</v>
      </c>
      <c r="L574" t="s">
        <v>20</v>
      </c>
      <c r="M574">
        <v>3</v>
      </c>
      <c r="N574" t="s">
        <v>19</v>
      </c>
      <c r="O574">
        <v>20000</v>
      </c>
      <c r="P574" t="str" cm="1">
        <f t="array" ref="P574">_xlfn.IFS(Hospital_Patient[[#This Row],[Age]]&lt;=18,"Young",Hospital_Patient[[#This Row],[Age]]&lt;=36,"Adult",Hospital_Patient[[#This Row],[Age]]&lt;=60,"Middle Age",Hospital_Patient[[#This Row],[Age]]&gt;60,"Senior")</f>
        <v>Middle Age</v>
      </c>
      <c r="Q574" t="str" cm="1">
        <f t="array" ref="Q5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74">
        <f>YEAR(Hospital_Patient[[#This Row],[Discharge_Date]])</f>
        <v>2023</v>
      </c>
    </row>
    <row r="575" spans="1:18" hidden="1" x14ac:dyDescent="0.25">
      <c r="A575">
        <v>25</v>
      </c>
      <c r="B575">
        <v>28</v>
      </c>
      <c r="C575" t="s">
        <v>22</v>
      </c>
      <c r="D575" t="s">
        <v>47</v>
      </c>
      <c r="E575" t="s">
        <v>48</v>
      </c>
      <c r="F575" s="5">
        <v>45192</v>
      </c>
      <c r="G575" s="5">
        <v>45194</v>
      </c>
      <c r="H575" t="s">
        <v>18</v>
      </c>
      <c r="I575">
        <v>2023</v>
      </c>
      <c r="J575">
        <v>2</v>
      </c>
      <c r="K575" t="s">
        <v>19</v>
      </c>
      <c r="L575" t="s">
        <v>20</v>
      </c>
      <c r="M575">
        <v>5</v>
      </c>
      <c r="N575" t="s">
        <v>21</v>
      </c>
      <c r="O575">
        <v>100</v>
      </c>
      <c r="P575" t="str" cm="1">
        <f t="array" ref="P575">_xlfn.IFS(Hospital_Patient[[#This Row],[Age]]&lt;=18,"Young",Hospital_Patient[[#This Row],[Age]]&lt;=36,"Adult",Hospital_Patient[[#This Row],[Age]]&lt;=60,"Middle Age",Hospital_Patient[[#This Row],[Age]]&gt;60,"Senior")</f>
        <v>Adult</v>
      </c>
      <c r="Q575" t="str" cm="1">
        <f t="array" ref="Q5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575">
        <f>YEAR(Hospital_Patient[[#This Row],[Discharge_Date]])</f>
        <v>2023</v>
      </c>
    </row>
    <row r="576" spans="1:18" x14ac:dyDescent="0.25">
      <c r="A576">
        <v>867</v>
      </c>
      <c r="B576">
        <v>52</v>
      </c>
      <c r="C576" t="s">
        <v>15</v>
      </c>
      <c r="D576" t="s">
        <v>49</v>
      </c>
      <c r="E576" t="s">
        <v>50</v>
      </c>
      <c r="F576" s="5">
        <v>45134</v>
      </c>
      <c r="G576" s="5">
        <v>45194</v>
      </c>
      <c r="H576" t="s">
        <v>66</v>
      </c>
      <c r="I576">
        <v>2023</v>
      </c>
      <c r="J576">
        <v>60</v>
      </c>
      <c r="K576" t="s">
        <v>19</v>
      </c>
      <c r="L576" t="s">
        <v>26</v>
      </c>
      <c r="M576">
        <v>4</v>
      </c>
      <c r="N576" t="s">
        <v>19</v>
      </c>
      <c r="O576">
        <v>800</v>
      </c>
      <c r="P576" t="str" cm="1">
        <f t="array" ref="P576">_xlfn.IFS(Hospital_Patient[[#This Row],[Age]]&lt;=18,"Young",Hospital_Patient[[#This Row],[Age]]&lt;=36,"Adult",Hospital_Patient[[#This Row],[Age]]&lt;=60,"Middle Age",Hospital_Patient[[#This Row],[Age]]&gt;60,"Senior")</f>
        <v>Middle Age</v>
      </c>
      <c r="Q576" t="str" cm="1">
        <f t="array" ref="Q5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6">
        <f>YEAR(Hospital_Patient[[#This Row],[Discharge_Date]])</f>
        <v>2023</v>
      </c>
    </row>
    <row r="577" spans="1:18" hidden="1" x14ac:dyDescent="0.25">
      <c r="A577">
        <v>447</v>
      </c>
      <c r="B577">
        <v>70</v>
      </c>
      <c r="C577" t="s">
        <v>22</v>
      </c>
      <c r="D577" t="s">
        <v>30</v>
      </c>
      <c r="E577" t="s">
        <v>31</v>
      </c>
      <c r="F577" s="5">
        <v>45155</v>
      </c>
      <c r="G577" s="5">
        <v>45193</v>
      </c>
      <c r="H577" t="s">
        <v>35</v>
      </c>
      <c r="I577">
        <v>2023</v>
      </c>
      <c r="J577">
        <v>38</v>
      </c>
      <c r="K577" t="s">
        <v>21</v>
      </c>
      <c r="L577" t="s">
        <v>26</v>
      </c>
      <c r="M577">
        <v>2</v>
      </c>
      <c r="N577" t="s">
        <v>19</v>
      </c>
      <c r="O577">
        <v>10000</v>
      </c>
      <c r="P577" t="str" cm="1">
        <f t="array" ref="P577">_xlfn.IFS(Hospital_Patient[[#This Row],[Age]]&lt;=18,"Young",Hospital_Patient[[#This Row],[Age]]&lt;=36,"Adult",Hospital_Patient[[#This Row],[Age]]&lt;=60,"Middle Age",Hospital_Patient[[#This Row],[Age]]&gt;60,"Senior")</f>
        <v>Senior</v>
      </c>
      <c r="Q577" t="str" cm="1">
        <f t="array" ref="Q5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7">
        <f>YEAR(Hospital_Patient[[#This Row],[Discharge_Date]])</f>
        <v>2023</v>
      </c>
    </row>
    <row r="578" spans="1:18" x14ac:dyDescent="0.25">
      <c r="A578">
        <v>374</v>
      </c>
      <c r="B578">
        <v>53</v>
      </c>
      <c r="C578" t="s">
        <v>15</v>
      </c>
      <c r="D578" t="s">
        <v>33</v>
      </c>
      <c r="E578" t="s">
        <v>34</v>
      </c>
      <c r="F578" s="5">
        <v>45155</v>
      </c>
      <c r="G578" s="5">
        <v>45190</v>
      </c>
      <c r="H578" t="s">
        <v>64</v>
      </c>
      <c r="I578">
        <v>2023</v>
      </c>
      <c r="J578">
        <v>35</v>
      </c>
      <c r="K578" t="s">
        <v>21</v>
      </c>
      <c r="L578" t="s">
        <v>20</v>
      </c>
      <c r="M578">
        <v>4</v>
      </c>
      <c r="N578" t="s">
        <v>19</v>
      </c>
      <c r="O578">
        <v>25000</v>
      </c>
      <c r="P578" t="str" cm="1">
        <f t="array" ref="P578">_xlfn.IFS(Hospital_Patient[[#This Row],[Age]]&lt;=18,"Young",Hospital_Patient[[#This Row],[Age]]&lt;=36,"Adult",Hospital_Patient[[#This Row],[Age]]&lt;=60,"Middle Age",Hospital_Patient[[#This Row],[Age]]&gt;60,"Senior")</f>
        <v>Middle Age</v>
      </c>
      <c r="Q578" t="str" cm="1">
        <f t="array" ref="Q5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8">
        <f>YEAR(Hospital_Patient[[#This Row],[Discharge_Date]])</f>
        <v>2023</v>
      </c>
    </row>
    <row r="579" spans="1:18" hidden="1" x14ac:dyDescent="0.25">
      <c r="A579">
        <v>770</v>
      </c>
      <c r="B579">
        <v>65</v>
      </c>
      <c r="C579" t="s">
        <v>22</v>
      </c>
      <c r="D579" t="s">
        <v>23</v>
      </c>
      <c r="E579" t="s">
        <v>24</v>
      </c>
      <c r="F579" s="5">
        <v>45135</v>
      </c>
      <c r="G579" s="5">
        <v>45190</v>
      </c>
      <c r="H579" t="s">
        <v>73</v>
      </c>
      <c r="I579">
        <v>2023</v>
      </c>
      <c r="J579">
        <v>55</v>
      </c>
      <c r="K579" t="s">
        <v>19</v>
      </c>
      <c r="L579" t="s">
        <v>26</v>
      </c>
      <c r="M579">
        <v>3</v>
      </c>
      <c r="N579" t="s">
        <v>19</v>
      </c>
      <c r="O579">
        <v>2000</v>
      </c>
      <c r="P579" t="str" cm="1">
        <f t="array" ref="P579">_xlfn.IFS(Hospital_Patient[[#This Row],[Age]]&lt;=18,"Young",Hospital_Patient[[#This Row],[Age]]&lt;=36,"Adult",Hospital_Patient[[#This Row],[Age]]&lt;=60,"Middle Age",Hospital_Patient[[#This Row],[Age]]&gt;60,"Senior")</f>
        <v>Senior</v>
      </c>
      <c r="Q579" t="str" cm="1">
        <f t="array" ref="Q5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79">
        <f>YEAR(Hospital_Patient[[#This Row],[Discharge_Date]])</f>
        <v>2023</v>
      </c>
    </row>
    <row r="580" spans="1:18" x14ac:dyDescent="0.25">
      <c r="A580">
        <v>502</v>
      </c>
      <c r="B580">
        <v>60</v>
      </c>
      <c r="C580" t="s">
        <v>15</v>
      </c>
      <c r="D580" t="s">
        <v>59</v>
      </c>
      <c r="E580" t="s">
        <v>60</v>
      </c>
      <c r="F580" s="5">
        <v>45149</v>
      </c>
      <c r="G580" s="5">
        <v>45187</v>
      </c>
      <c r="H580" t="s">
        <v>61</v>
      </c>
      <c r="I580">
        <v>2023</v>
      </c>
      <c r="J580">
        <v>38</v>
      </c>
      <c r="K580" t="s">
        <v>19</v>
      </c>
      <c r="L580" t="s">
        <v>26</v>
      </c>
      <c r="M580">
        <v>4</v>
      </c>
      <c r="N580" t="s">
        <v>21</v>
      </c>
      <c r="O580">
        <v>4000</v>
      </c>
      <c r="P580" t="str" cm="1">
        <f t="array" ref="P580">_xlfn.IFS(Hospital_Patient[[#This Row],[Age]]&lt;=18,"Young",Hospital_Patient[[#This Row],[Age]]&lt;=36,"Adult",Hospital_Patient[[#This Row],[Age]]&lt;=60,"Middle Age",Hospital_Patient[[#This Row],[Age]]&gt;60,"Senior")</f>
        <v>Middle Age</v>
      </c>
      <c r="Q580" t="str" cm="1">
        <f t="array" ref="Q5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0">
        <f>YEAR(Hospital_Patient[[#This Row],[Discharge_Date]])</f>
        <v>2023</v>
      </c>
    </row>
    <row r="581" spans="1:18" hidden="1" x14ac:dyDescent="0.25">
      <c r="A581">
        <v>714</v>
      </c>
      <c r="B581">
        <v>68</v>
      </c>
      <c r="C581" t="s">
        <v>22</v>
      </c>
      <c r="D581" t="s">
        <v>36</v>
      </c>
      <c r="E581" t="s">
        <v>37</v>
      </c>
      <c r="F581" s="5">
        <v>45131</v>
      </c>
      <c r="G581" s="5">
        <v>45183</v>
      </c>
      <c r="H581" t="s">
        <v>38</v>
      </c>
      <c r="I581">
        <v>2023</v>
      </c>
      <c r="J581">
        <v>52</v>
      </c>
      <c r="K581" t="s">
        <v>19</v>
      </c>
      <c r="L581" t="s">
        <v>26</v>
      </c>
      <c r="M581">
        <v>4</v>
      </c>
      <c r="N581" t="s">
        <v>19</v>
      </c>
      <c r="O581">
        <v>1000</v>
      </c>
      <c r="P581" t="str" cm="1">
        <f t="array" ref="P581">_xlfn.IFS(Hospital_Patient[[#This Row],[Age]]&lt;=18,"Young",Hospital_Patient[[#This Row],[Age]]&lt;=36,"Adult",Hospital_Patient[[#This Row],[Age]]&lt;=60,"Middle Age",Hospital_Patient[[#This Row],[Age]]&gt;60,"Senior")</f>
        <v>Senior</v>
      </c>
      <c r="Q581" t="str" cm="1">
        <f t="array" ref="Q5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1">
        <f>YEAR(Hospital_Patient[[#This Row],[Discharge_Date]])</f>
        <v>2023</v>
      </c>
    </row>
    <row r="582" spans="1:18" x14ac:dyDescent="0.25">
      <c r="A582">
        <v>393</v>
      </c>
      <c r="B582">
        <v>78</v>
      </c>
      <c r="C582" t="s">
        <v>15</v>
      </c>
      <c r="D582" t="s">
        <v>45</v>
      </c>
      <c r="E582" t="s">
        <v>46</v>
      </c>
      <c r="F582" s="5">
        <v>45148</v>
      </c>
      <c r="G582" s="5">
        <v>45182</v>
      </c>
      <c r="H582" t="s">
        <v>18</v>
      </c>
      <c r="I582">
        <v>2023</v>
      </c>
      <c r="J582">
        <v>34</v>
      </c>
      <c r="K582" t="s">
        <v>21</v>
      </c>
      <c r="L582" t="s">
        <v>26</v>
      </c>
      <c r="M582">
        <v>2</v>
      </c>
      <c r="N582" t="s">
        <v>19</v>
      </c>
      <c r="O582">
        <v>18000</v>
      </c>
      <c r="P582" t="str" cm="1">
        <f t="array" ref="P582">_xlfn.IFS(Hospital_Patient[[#This Row],[Age]]&lt;=18,"Young",Hospital_Patient[[#This Row],[Age]]&lt;=36,"Adult",Hospital_Patient[[#This Row],[Age]]&lt;=60,"Middle Age",Hospital_Patient[[#This Row],[Age]]&gt;60,"Senior")</f>
        <v>Senior</v>
      </c>
      <c r="Q582" t="str" cm="1">
        <f t="array" ref="Q5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2">
        <f>YEAR(Hospital_Patient[[#This Row],[Discharge_Date]])</f>
        <v>2023</v>
      </c>
    </row>
    <row r="583" spans="1:18" x14ac:dyDescent="0.25">
      <c r="A583">
        <v>937</v>
      </c>
      <c r="B583">
        <v>60</v>
      </c>
      <c r="C583" t="s">
        <v>15</v>
      </c>
      <c r="D583" t="s">
        <v>39</v>
      </c>
      <c r="E583" t="s">
        <v>40</v>
      </c>
      <c r="F583" s="5">
        <v>45113</v>
      </c>
      <c r="G583" s="5">
        <v>45182</v>
      </c>
      <c r="H583" t="s">
        <v>41</v>
      </c>
      <c r="I583">
        <v>2023</v>
      </c>
      <c r="J583">
        <v>69</v>
      </c>
      <c r="K583" t="s">
        <v>21</v>
      </c>
      <c r="L583" t="s">
        <v>20</v>
      </c>
      <c r="M583">
        <v>3</v>
      </c>
      <c r="N583" t="s">
        <v>19</v>
      </c>
      <c r="O583">
        <v>8000</v>
      </c>
      <c r="P583" t="str" cm="1">
        <f t="array" ref="P583">_xlfn.IFS(Hospital_Patient[[#This Row],[Age]]&lt;=18,"Young",Hospital_Patient[[#This Row],[Age]]&lt;=36,"Adult",Hospital_Patient[[#This Row],[Age]]&lt;=60,"Middle Age",Hospital_Patient[[#This Row],[Age]]&gt;60,"Senior")</f>
        <v>Middle Age</v>
      </c>
      <c r="Q583" t="str" cm="1">
        <f t="array" ref="Q5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83">
        <f>YEAR(Hospital_Patient[[#This Row],[Discharge_Date]])</f>
        <v>2023</v>
      </c>
    </row>
    <row r="584" spans="1:18" x14ac:dyDescent="0.25">
      <c r="A584">
        <v>882</v>
      </c>
      <c r="B584">
        <v>52</v>
      </c>
      <c r="C584" t="s">
        <v>15</v>
      </c>
      <c r="D584" t="s">
        <v>49</v>
      </c>
      <c r="E584" t="s">
        <v>50</v>
      </c>
      <c r="F584" s="5">
        <v>45120</v>
      </c>
      <c r="G584" s="5">
        <v>45181</v>
      </c>
      <c r="H584" t="s">
        <v>51</v>
      </c>
      <c r="I584">
        <v>2023</v>
      </c>
      <c r="J584">
        <v>61</v>
      </c>
      <c r="K584" t="s">
        <v>19</v>
      </c>
      <c r="L584" t="s">
        <v>26</v>
      </c>
      <c r="M584">
        <v>4</v>
      </c>
      <c r="N584" t="s">
        <v>19</v>
      </c>
      <c r="O584">
        <v>800</v>
      </c>
      <c r="P584" t="str" cm="1">
        <f t="array" ref="P584">_xlfn.IFS(Hospital_Patient[[#This Row],[Age]]&lt;=18,"Young",Hospital_Patient[[#This Row],[Age]]&lt;=36,"Adult",Hospital_Patient[[#This Row],[Age]]&lt;=60,"Middle Age",Hospital_Patient[[#This Row],[Age]]&gt;60,"Senior")</f>
        <v>Middle Age</v>
      </c>
      <c r="Q584" t="str" cm="1">
        <f t="array" ref="Q5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84">
        <f>YEAR(Hospital_Patient[[#This Row],[Discharge_Date]])</f>
        <v>2023</v>
      </c>
    </row>
    <row r="585" spans="1:18" x14ac:dyDescent="0.25">
      <c r="A585">
        <v>686</v>
      </c>
      <c r="B585">
        <v>45</v>
      </c>
      <c r="C585" t="s">
        <v>15</v>
      </c>
      <c r="D585" t="s">
        <v>39</v>
      </c>
      <c r="E585" t="s">
        <v>40</v>
      </c>
      <c r="F585" s="5">
        <v>45125</v>
      </c>
      <c r="G585" s="5">
        <v>45177</v>
      </c>
      <c r="H585" t="s">
        <v>73</v>
      </c>
      <c r="I585">
        <v>2023</v>
      </c>
      <c r="J585">
        <v>52</v>
      </c>
      <c r="K585" t="s">
        <v>19</v>
      </c>
      <c r="L585" t="s">
        <v>20</v>
      </c>
      <c r="M585">
        <v>3</v>
      </c>
      <c r="N585" t="s">
        <v>21</v>
      </c>
      <c r="O585">
        <v>8000</v>
      </c>
      <c r="P585" t="str" cm="1">
        <f t="array" ref="P585">_xlfn.IFS(Hospital_Patient[[#This Row],[Age]]&lt;=18,"Young",Hospital_Patient[[#This Row],[Age]]&lt;=36,"Adult",Hospital_Patient[[#This Row],[Age]]&lt;=60,"Middle Age",Hospital_Patient[[#This Row],[Age]]&gt;60,"Senior")</f>
        <v>Middle Age</v>
      </c>
      <c r="Q585" t="str" cm="1">
        <f t="array" ref="Q5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5">
        <f>YEAR(Hospital_Patient[[#This Row],[Discharge_Date]])</f>
        <v>2023</v>
      </c>
    </row>
    <row r="586" spans="1:18" x14ac:dyDescent="0.25">
      <c r="A586">
        <v>136</v>
      </c>
      <c r="B586">
        <v>35</v>
      </c>
      <c r="C586" t="s">
        <v>15</v>
      </c>
      <c r="D586" t="s">
        <v>27</v>
      </c>
      <c r="E586" t="s">
        <v>28</v>
      </c>
      <c r="F586" s="5">
        <v>45166</v>
      </c>
      <c r="G586" s="5">
        <v>45176</v>
      </c>
      <c r="H586" t="s">
        <v>70</v>
      </c>
      <c r="I586">
        <v>2023</v>
      </c>
      <c r="J586">
        <v>10</v>
      </c>
      <c r="K586" t="s">
        <v>21</v>
      </c>
      <c r="L586" t="s">
        <v>20</v>
      </c>
      <c r="M586">
        <v>5</v>
      </c>
      <c r="N586" t="s">
        <v>21</v>
      </c>
      <c r="O586">
        <v>500</v>
      </c>
      <c r="P586" t="str" cm="1">
        <f t="array" ref="P586">_xlfn.IFS(Hospital_Patient[[#This Row],[Age]]&lt;=18,"Young",Hospital_Patient[[#This Row],[Age]]&lt;=36,"Adult",Hospital_Patient[[#This Row],[Age]]&lt;=60,"Middle Age",Hospital_Patient[[#This Row],[Age]]&gt;60,"Senior")</f>
        <v>Adult</v>
      </c>
      <c r="Q586" t="str" cm="1">
        <f t="array" ref="Q5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86">
        <f>YEAR(Hospital_Patient[[#This Row],[Discharge_Date]])</f>
        <v>2023</v>
      </c>
    </row>
    <row r="587" spans="1:18" hidden="1" x14ac:dyDescent="0.25">
      <c r="A587">
        <v>729</v>
      </c>
      <c r="B587">
        <v>72</v>
      </c>
      <c r="C587" t="s">
        <v>22</v>
      </c>
      <c r="D587" t="s">
        <v>36</v>
      </c>
      <c r="E587" t="s">
        <v>37</v>
      </c>
      <c r="F587" s="5">
        <v>45121</v>
      </c>
      <c r="G587" s="5">
        <v>45174</v>
      </c>
      <c r="H587" t="s">
        <v>38</v>
      </c>
      <c r="I587">
        <v>2023</v>
      </c>
      <c r="J587">
        <v>53</v>
      </c>
      <c r="K587" t="s">
        <v>19</v>
      </c>
      <c r="L587" t="s">
        <v>26</v>
      </c>
      <c r="M587">
        <v>4</v>
      </c>
      <c r="N587" t="s">
        <v>19</v>
      </c>
      <c r="O587">
        <v>1000</v>
      </c>
      <c r="P587" t="str" cm="1">
        <f t="array" ref="P587">_xlfn.IFS(Hospital_Patient[[#This Row],[Age]]&lt;=18,"Young",Hospital_Patient[[#This Row],[Age]]&lt;=36,"Adult",Hospital_Patient[[#This Row],[Age]]&lt;=60,"Middle Age",Hospital_Patient[[#This Row],[Age]]&gt;60,"Senior")</f>
        <v>Senior</v>
      </c>
      <c r="Q587" t="str" cm="1">
        <f t="array" ref="Q5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7">
        <f>YEAR(Hospital_Patient[[#This Row],[Discharge_Date]])</f>
        <v>2023</v>
      </c>
    </row>
    <row r="588" spans="1:18" hidden="1" x14ac:dyDescent="0.25">
      <c r="A588">
        <v>327</v>
      </c>
      <c r="B588">
        <v>65</v>
      </c>
      <c r="C588" t="s">
        <v>22</v>
      </c>
      <c r="D588" t="s">
        <v>23</v>
      </c>
      <c r="E588" t="s">
        <v>24</v>
      </c>
      <c r="F588" s="5">
        <v>45148</v>
      </c>
      <c r="G588" s="5">
        <v>45173</v>
      </c>
      <c r="H588" t="s">
        <v>71</v>
      </c>
      <c r="I588">
        <v>2023</v>
      </c>
      <c r="J588">
        <v>25</v>
      </c>
      <c r="K588" t="s">
        <v>19</v>
      </c>
      <c r="L588" t="s">
        <v>26</v>
      </c>
      <c r="M588">
        <v>3</v>
      </c>
      <c r="N588" t="s">
        <v>21</v>
      </c>
      <c r="O588">
        <v>2000</v>
      </c>
      <c r="P588" t="str" cm="1">
        <f t="array" ref="P588">_xlfn.IFS(Hospital_Patient[[#This Row],[Age]]&lt;=18,"Young",Hospital_Patient[[#This Row],[Age]]&lt;=36,"Adult",Hospital_Patient[[#This Row],[Age]]&lt;=60,"Middle Age",Hospital_Patient[[#This Row],[Age]]&gt;60,"Senior")</f>
        <v>Senior</v>
      </c>
      <c r="Q588" t="str" cm="1">
        <f t="array" ref="Q5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88">
        <f>YEAR(Hospital_Patient[[#This Row],[Discharge_Date]])</f>
        <v>2023</v>
      </c>
    </row>
    <row r="589" spans="1:18" x14ac:dyDescent="0.25">
      <c r="A589">
        <v>697</v>
      </c>
      <c r="B589">
        <v>35</v>
      </c>
      <c r="C589" t="s">
        <v>15</v>
      </c>
      <c r="D589" t="s">
        <v>27</v>
      </c>
      <c r="E589" t="s">
        <v>28</v>
      </c>
      <c r="F589" s="5">
        <v>45123</v>
      </c>
      <c r="G589" s="5">
        <v>45171</v>
      </c>
      <c r="H589" t="s">
        <v>77</v>
      </c>
      <c r="I589">
        <v>2023</v>
      </c>
      <c r="J589">
        <v>48</v>
      </c>
      <c r="K589" t="s">
        <v>21</v>
      </c>
      <c r="L589" t="s">
        <v>20</v>
      </c>
      <c r="M589">
        <v>5</v>
      </c>
      <c r="N589" t="s">
        <v>19</v>
      </c>
      <c r="O589">
        <v>500</v>
      </c>
      <c r="P589" t="str" cm="1">
        <f t="array" ref="P589">_xlfn.IFS(Hospital_Patient[[#This Row],[Age]]&lt;=18,"Young",Hospital_Patient[[#This Row],[Age]]&lt;=36,"Adult",Hospital_Patient[[#This Row],[Age]]&lt;=60,"Middle Age",Hospital_Patient[[#This Row],[Age]]&gt;60,"Senior")</f>
        <v>Adult</v>
      </c>
      <c r="Q589" t="str" cm="1">
        <f t="array" ref="Q5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89">
        <f>YEAR(Hospital_Patient[[#This Row],[Discharge_Date]])</f>
        <v>2023</v>
      </c>
    </row>
    <row r="590" spans="1:18" hidden="1" x14ac:dyDescent="0.25">
      <c r="A590">
        <v>339</v>
      </c>
      <c r="B590">
        <v>55</v>
      </c>
      <c r="C590" t="s">
        <v>22</v>
      </c>
      <c r="D590" t="s">
        <v>57</v>
      </c>
      <c r="E590" t="s">
        <v>58</v>
      </c>
      <c r="F590" s="5">
        <v>45144</v>
      </c>
      <c r="G590" s="5">
        <v>45170</v>
      </c>
      <c r="H590" t="s">
        <v>77</v>
      </c>
      <c r="I590">
        <v>2023</v>
      </c>
      <c r="J590">
        <v>26</v>
      </c>
      <c r="K590" t="s">
        <v>19</v>
      </c>
      <c r="L590" t="s">
        <v>20</v>
      </c>
      <c r="M590">
        <v>3</v>
      </c>
      <c r="N590" t="s">
        <v>19</v>
      </c>
      <c r="O590">
        <v>6000</v>
      </c>
      <c r="P590" t="str" cm="1">
        <f t="array" ref="P590">_xlfn.IFS(Hospital_Patient[[#This Row],[Age]]&lt;=18,"Young",Hospital_Patient[[#This Row],[Age]]&lt;=36,"Adult",Hospital_Patient[[#This Row],[Age]]&lt;=60,"Middle Age",Hospital_Patient[[#This Row],[Age]]&gt;60,"Senior")</f>
        <v>Middle Age</v>
      </c>
      <c r="Q590" t="str" cm="1">
        <f t="array" ref="Q5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90">
        <f>YEAR(Hospital_Patient[[#This Row],[Discharge_Date]])</f>
        <v>2023</v>
      </c>
    </row>
    <row r="591" spans="1:18" hidden="1" x14ac:dyDescent="0.25">
      <c r="A591">
        <v>543</v>
      </c>
      <c r="B591">
        <v>58</v>
      </c>
      <c r="C591" t="s">
        <v>22</v>
      </c>
      <c r="D591" t="s">
        <v>52</v>
      </c>
      <c r="E591" t="s">
        <v>53</v>
      </c>
      <c r="F591" s="5">
        <v>45125</v>
      </c>
      <c r="G591" s="5">
        <v>45170</v>
      </c>
      <c r="H591" t="s">
        <v>51</v>
      </c>
      <c r="I591">
        <v>2023</v>
      </c>
      <c r="J591">
        <v>45</v>
      </c>
      <c r="K591" t="s">
        <v>19</v>
      </c>
      <c r="L591" t="s">
        <v>20</v>
      </c>
      <c r="M591">
        <v>3</v>
      </c>
      <c r="N591" t="s">
        <v>21</v>
      </c>
      <c r="O591">
        <v>20000</v>
      </c>
      <c r="P591" t="str" cm="1">
        <f t="array" ref="P591">_xlfn.IFS(Hospital_Patient[[#This Row],[Age]]&lt;=18,"Young",Hospital_Patient[[#This Row],[Age]]&lt;=36,"Adult",Hospital_Patient[[#This Row],[Age]]&lt;=60,"Middle Age",Hospital_Patient[[#This Row],[Age]]&gt;60,"Senior")</f>
        <v>Middle Age</v>
      </c>
      <c r="Q591" t="str" cm="1">
        <f t="array" ref="Q5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91">
        <f>YEAR(Hospital_Patient[[#This Row],[Discharge_Date]])</f>
        <v>2023</v>
      </c>
    </row>
    <row r="592" spans="1:18" hidden="1" x14ac:dyDescent="0.25">
      <c r="A592">
        <v>816</v>
      </c>
      <c r="B592">
        <v>78</v>
      </c>
      <c r="C592" t="s">
        <v>22</v>
      </c>
      <c r="D592" t="s">
        <v>30</v>
      </c>
      <c r="E592" t="s">
        <v>31</v>
      </c>
      <c r="F592" s="5">
        <v>45100</v>
      </c>
      <c r="G592" s="5">
        <v>45163</v>
      </c>
      <c r="H592" t="s">
        <v>63</v>
      </c>
      <c r="I592">
        <v>2023</v>
      </c>
      <c r="J592">
        <v>63</v>
      </c>
      <c r="K592" t="s">
        <v>19</v>
      </c>
      <c r="L592" t="s">
        <v>26</v>
      </c>
      <c r="M592">
        <v>2</v>
      </c>
      <c r="N592" t="s">
        <v>21</v>
      </c>
      <c r="O592">
        <v>10000</v>
      </c>
      <c r="P592" t="str" cm="1">
        <f t="array" ref="P592">_xlfn.IFS(Hospital_Patient[[#This Row],[Age]]&lt;=18,"Young",Hospital_Patient[[#This Row],[Age]]&lt;=36,"Adult",Hospital_Patient[[#This Row],[Age]]&lt;=60,"Middle Age",Hospital_Patient[[#This Row],[Age]]&gt;60,"Senior")</f>
        <v>Senior</v>
      </c>
      <c r="Q592" t="str" cm="1">
        <f t="array" ref="Q5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92">
        <f>YEAR(Hospital_Patient[[#This Row],[Discharge_Date]])</f>
        <v>2023</v>
      </c>
    </row>
    <row r="593" spans="1:18" hidden="1" x14ac:dyDescent="0.25">
      <c r="A593">
        <v>600</v>
      </c>
      <c r="B593">
        <v>25</v>
      </c>
      <c r="C593" t="s">
        <v>22</v>
      </c>
      <c r="D593" t="s">
        <v>47</v>
      </c>
      <c r="E593" t="s">
        <v>48</v>
      </c>
      <c r="F593" s="5">
        <v>45121</v>
      </c>
      <c r="G593" s="5">
        <v>45162</v>
      </c>
      <c r="H593" t="s">
        <v>73</v>
      </c>
      <c r="I593">
        <v>2023</v>
      </c>
      <c r="J593">
        <v>41</v>
      </c>
      <c r="K593" t="s">
        <v>19</v>
      </c>
      <c r="L593" t="s">
        <v>20</v>
      </c>
      <c r="M593">
        <v>5</v>
      </c>
      <c r="N593" t="s">
        <v>21</v>
      </c>
      <c r="O593">
        <v>100</v>
      </c>
      <c r="P593" t="str" cm="1">
        <f t="array" ref="P593">_xlfn.IFS(Hospital_Patient[[#This Row],[Age]]&lt;=18,"Young",Hospital_Patient[[#This Row],[Age]]&lt;=36,"Adult",Hospital_Patient[[#This Row],[Age]]&lt;=60,"Middle Age",Hospital_Patient[[#This Row],[Age]]&gt;60,"Senior")</f>
        <v>Adult</v>
      </c>
      <c r="Q593" t="str" cm="1">
        <f t="array" ref="Q5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93">
        <f>YEAR(Hospital_Patient[[#This Row],[Discharge_Date]])</f>
        <v>2023</v>
      </c>
    </row>
    <row r="594" spans="1:18" x14ac:dyDescent="0.25">
      <c r="A594">
        <v>623</v>
      </c>
      <c r="B594">
        <v>30</v>
      </c>
      <c r="C594" t="s">
        <v>15</v>
      </c>
      <c r="D594" t="s">
        <v>27</v>
      </c>
      <c r="E594" t="s">
        <v>28</v>
      </c>
      <c r="F594" s="5">
        <v>45119</v>
      </c>
      <c r="G594" s="5">
        <v>45162</v>
      </c>
      <c r="H594" t="s">
        <v>70</v>
      </c>
      <c r="I594">
        <v>2023</v>
      </c>
      <c r="J594">
        <v>43</v>
      </c>
      <c r="K594" t="s">
        <v>19</v>
      </c>
      <c r="L594" t="s">
        <v>20</v>
      </c>
      <c r="M594">
        <v>5</v>
      </c>
      <c r="N594" t="s">
        <v>19</v>
      </c>
      <c r="O594">
        <v>500</v>
      </c>
      <c r="P594" t="str" cm="1">
        <f t="array" ref="P594">_xlfn.IFS(Hospital_Patient[[#This Row],[Age]]&lt;=18,"Young",Hospital_Patient[[#This Row],[Age]]&lt;=36,"Adult",Hospital_Patient[[#This Row],[Age]]&lt;=60,"Middle Age",Hospital_Patient[[#This Row],[Age]]&gt;60,"Senior")</f>
        <v>Adult</v>
      </c>
      <c r="Q594" t="str" cm="1">
        <f t="array" ref="Q5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94">
        <f>YEAR(Hospital_Patient[[#This Row],[Discharge_Date]])</f>
        <v>2023</v>
      </c>
    </row>
    <row r="595" spans="1:18" hidden="1" x14ac:dyDescent="0.25">
      <c r="A595">
        <v>53</v>
      </c>
      <c r="B595">
        <v>45</v>
      </c>
      <c r="C595" t="s">
        <v>22</v>
      </c>
      <c r="D595" t="s">
        <v>42</v>
      </c>
      <c r="E595" t="s">
        <v>43</v>
      </c>
      <c r="F595" s="5">
        <v>45151</v>
      </c>
      <c r="G595" s="5">
        <v>45160</v>
      </c>
      <c r="H595" t="s">
        <v>69</v>
      </c>
      <c r="I595">
        <v>2023</v>
      </c>
      <c r="J595">
        <v>9</v>
      </c>
      <c r="K595" t="s">
        <v>19</v>
      </c>
      <c r="L595" t="s">
        <v>20</v>
      </c>
      <c r="M595">
        <v>4</v>
      </c>
      <c r="N595" t="s">
        <v>19</v>
      </c>
      <c r="O595">
        <v>3000</v>
      </c>
      <c r="P595" t="str" cm="1">
        <f t="array" ref="P595">_xlfn.IFS(Hospital_Patient[[#This Row],[Age]]&lt;=18,"Young",Hospital_Patient[[#This Row],[Age]]&lt;=36,"Adult",Hospital_Patient[[#This Row],[Age]]&lt;=60,"Middle Age",Hospital_Patient[[#This Row],[Age]]&gt;60,"Senior")</f>
        <v>Middle Age</v>
      </c>
      <c r="Q595" t="str" cm="1">
        <f t="array" ref="Q5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95">
        <f>YEAR(Hospital_Patient[[#This Row],[Discharge_Date]])</f>
        <v>2023</v>
      </c>
    </row>
    <row r="596" spans="1:18" hidden="1" x14ac:dyDescent="0.25">
      <c r="A596">
        <v>250</v>
      </c>
      <c r="B596">
        <v>55</v>
      </c>
      <c r="C596" t="s">
        <v>22</v>
      </c>
      <c r="D596" t="s">
        <v>57</v>
      </c>
      <c r="E596" t="s">
        <v>58</v>
      </c>
      <c r="F596" s="5">
        <v>45140</v>
      </c>
      <c r="G596" s="5">
        <v>45160</v>
      </c>
      <c r="H596" t="s">
        <v>51</v>
      </c>
      <c r="I596">
        <v>2023</v>
      </c>
      <c r="J596">
        <v>20</v>
      </c>
      <c r="K596" t="s">
        <v>19</v>
      </c>
      <c r="L596" t="s">
        <v>20</v>
      </c>
      <c r="M596">
        <v>3</v>
      </c>
      <c r="N596" t="s">
        <v>19</v>
      </c>
      <c r="O596">
        <v>6000</v>
      </c>
      <c r="P596" t="str" cm="1">
        <f t="array" ref="P596">_xlfn.IFS(Hospital_Patient[[#This Row],[Age]]&lt;=18,"Young",Hospital_Patient[[#This Row],[Age]]&lt;=36,"Adult",Hospital_Patient[[#This Row],[Age]]&lt;=60,"Middle Age",Hospital_Patient[[#This Row],[Age]]&gt;60,"Senior")</f>
        <v>Middle Age</v>
      </c>
      <c r="Q596" t="str" cm="1">
        <f t="array" ref="Q5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596">
        <f>YEAR(Hospital_Patient[[#This Row],[Discharge_Date]])</f>
        <v>2023</v>
      </c>
    </row>
    <row r="597" spans="1:18" hidden="1" x14ac:dyDescent="0.25">
      <c r="A597">
        <v>902</v>
      </c>
      <c r="B597">
        <v>62</v>
      </c>
      <c r="C597" t="s">
        <v>22</v>
      </c>
      <c r="D597" t="s">
        <v>23</v>
      </c>
      <c r="E597" t="s">
        <v>24</v>
      </c>
      <c r="F597" s="5">
        <v>45096</v>
      </c>
      <c r="G597" s="5">
        <v>45160</v>
      </c>
      <c r="H597" t="s">
        <v>25</v>
      </c>
      <c r="I597">
        <v>2023</v>
      </c>
      <c r="J597">
        <v>64</v>
      </c>
      <c r="K597" t="s">
        <v>19</v>
      </c>
      <c r="L597" t="s">
        <v>26</v>
      </c>
      <c r="M597">
        <v>4</v>
      </c>
      <c r="N597" t="s">
        <v>19</v>
      </c>
      <c r="O597">
        <v>2000</v>
      </c>
      <c r="P597" t="str" cm="1">
        <f t="array" ref="P597">_xlfn.IFS(Hospital_Patient[[#This Row],[Age]]&lt;=18,"Young",Hospital_Patient[[#This Row],[Age]]&lt;=36,"Adult",Hospital_Patient[[#This Row],[Age]]&lt;=60,"Middle Age",Hospital_Patient[[#This Row],[Age]]&gt;60,"Senior")</f>
        <v>Senior</v>
      </c>
      <c r="Q597" t="str" cm="1">
        <f t="array" ref="Q5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597">
        <f>YEAR(Hospital_Patient[[#This Row],[Discharge_Date]])</f>
        <v>2023</v>
      </c>
    </row>
    <row r="598" spans="1:18" hidden="1" x14ac:dyDescent="0.25">
      <c r="A598">
        <v>27</v>
      </c>
      <c r="B598">
        <v>67</v>
      </c>
      <c r="C598" t="s">
        <v>22</v>
      </c>
      <c r="D598" t="s">
        <v>52</v>
      </c>
      <c r="E598" t="s">
        <v>53</v>
      </c>
      <c r="F598" s="5">
        <v>45147</v>
      </c>
      <c r="G598" s="5">
        <v>45157</v>
      </c>
      <c r="H598" t="s">
        <v>67</v>
      </c>
      <c r="I598">
        <v>2023</v>
      </c>
      <c r="J598">
        <v>10</v>
      </c>
      <c r="K598" t="s">
        <v>19</v>
      </c>
      <c r="L598" t="s">
        <v>20</v>
      </c>
      <c r="M598">
        <v>3</v>
      </c>
      <c r="N598" t="s">
        <v>21</v>
      </c>
      <c r="O598">
        <v>20000</v>
      </c>
      <c r="P598" t="str" cm="1">
        <f t="array" ref="P598">_xlfn.IFS(Hospital_Patient[[#This Row],[Age]]&lt;=18,"Young",Hospital_Patient[[#This Row],[Age]]&lt;=36,"Adult",Hospital_Patient[[#This Row],[Age]]&lt;=60,"Middle Age",Hospital_Patient[[#This Row],[Age]]&gt;60,"Senior")</f>
        <v>Senior</v>
      </c>
      <c r="Q598" t="str" cm="1">
        <f t="array" ref="Q5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598">
        <f>YEAR(Hospital_Patient[[#This Row],[Discharge_Date]])</f>
        <v>2023</v>
      </c>
    </row>
    <row r="599" spans="1:18" x14ac:dyDescent="0.25">
      <c r="A599">
        <v>616</v>
      </c>
      <c r="B599">
        <v>52</v>
      </c>
      <c r="C599" t="s">
        <v>15</v>
      </c>
      <c r="D599" t="s">
        <v>49</v>
      </c>
      <c r="E599" t="s">
        <v>50</v>
      </c>
      <c r="F599" s="5">
        <v>45113</v>
      </c>
      <c r="G599" s="5">
        <v>45156</v>
      </c>
      <c r="H599" t="s">
        <v>51</v>
      </c>
      <c r="I599">
        <v>2023</v>
      </c>
      <c r="J599">
        <v>43</v>
      </c>
      <c r="K599" t="s">
        <v>19</v>
      </c>
      <c r="L599" t="s">
        <v>26</v>
      </c>
      <c r="M599">
        <v>4</v>
      </c>
      <c r="N599" t="s">
        <v>19</v>
      </c>
      <c r="O599">
        <v>800</v>
      </c>
      <c r="P599" t="str" cm="1">
        <f t="array" ref="P599">_xlfn.IFS(Hospital_Patient[[#This Row],[Age]]&lt;=18,"Young",Hospital_Patient[[#This Row],[Age]]&lt;=36,"Adult",Hospital_Patient[[#This Row],[Age]]&lt;=60,"Middle Age",Hospital_Patient[[#This Row],[Age]]&gt;60,"Senior")</f>
        <v>Middle Age</v>
      </c>
      <c r="Q599" t="str" cm="1">
        <f t="array" ref="Q5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599">
        <f>YEAR(Hospital_Patient[[#This Row],[Discharge_Date]])</f>
        <v>2023</v>
      </c>
    </row>
    <row r="600" spans="1:18" hidden="1" x14ac:dyDescent="0.25">
      <c r="A600">
        <v>978</v>
      </c>
      <c r="B600">
        <v>70</v>
      </c>
      <c r="C600" t="s">
        <v>22</v>
      </c>
      <c r="D600" t="s">
        <v>30</v>
      </c>
      <c r="E600" t="s">
        <v>31</v>
      </c>
      <c r="F600" s="5">
        <v>45080</v>
      </c>
      <c r="G600" s="5">
        <v>45154</v>
      </c>
      <c r="H600" t="s">
        <v>35</v>
      </c>
      <c r="I600">
        <v>2023</v>
      </c>
      <c r="J600">
        <v>74</v>
      </c>
      <c r="K600" t="s">
        <v>21</v>
      </c>
      <c r="L600" t="s">
        <v>26</v>
      </c>
      <c r="M600">
        <v>2</v>
      </c>
      <c r="N600" t="s">
        <v>19</v>
      </c>
      <c r="O600">
        <v>10000</v>
      </c>
      <c r="P600" t="str" cm="1">
        <f t="array" ref="P600">_xlfn.IFS(Hospital_Patient[[#This Row],[Age]]&lt;=18,"Young",Hospital_Patient[[#This Row],[Age]]&lt;=36,"Adult",Hospital_Patient[[#This Row],[Age]]&lt;=60,"Middle Age",Hospital_Patient[[#This Row],[Age]]&gt;60,"Senior")</f>
        <v>Senior</v>
      </c>
      <c r="Q600" t="str" cm="1">
        <f t="array" ref="Q6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00">
        <f>YEAR(Hospital_Patient[[#This Row],[Discharge_Date]])</f>
        <v>2023</v>
      </c>
    </row>
    <row r="601" spans="1:18" x14ac:dyDescent="0.25">
      <c r="A601">
        <v>774</v>
      </c>
      <c r="B601">
        <v>45</v>
      </c>
      <c r="C601" t="s">
        <v>15</v>
      </c>
      <c r="D601" t="s">
        <v>39</v>
      </c>
      <c r="E601" t="s">
        <v>40</v>
      </c>
      <c r="F601" s="5">
        <v>45094</v>
      </c>
      <c r="G601" s="5">
        <v>45152</v>
      </c>
      <c r="H601" t="s">
        <v>41</v>
      </c>
      <c r="I601">
        <v>2023</v>
      </c>
      <c r="J601">
        <v>58</v>
      </c>
      <c r="K601" t="s">
        <v>19</v>
      </c>
      <c r="L601" t="s">
        <v>20</v>
      </c>
      <c r="M601">
        <v>3</v>
      </c>
      <c r="N601" t="s">
        <v>19</v>
      </c>
      <c r="O601">
        <v>8000</v>
      </c>
      <c r="P601" t="str" cm="1">
        <f t="array" ref="P601">_xlfn.IFS(Hospital_Patient[[#This Row],[Age]]&lt;=18,"Young",Hospital_Patient[[#This Row],[Age]]&lt;=36,"Adult",Hospital_Patient[[#This Row],[Age]]&lt;=60,"Middle Age",Hospital_Patient[[#This Row],[Age]]&gt;60,"Senior")</f>
        <v>Middle Age</v>
      </c>
      <c r="Q601" t="str" cm="1">
        <f t="array" ref="Q6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01">
        <f>YEAR(Hospital_Patient[[#This Row],[Discharge_Date]])</f>
        <v>2023</v>
      </c>
    </row>
    <row r="602" spans="1:18" hidden="1" x14ac:dyDescent="0.25">
      <c r="A602">
        <v>263</v>
      </c>
      <c r="B602">
        <v>67</v>
      </c>
      <c r="C602" t="s">
        <v>22</v>
      </c>
      <c r="D602" t="s">
        <v>52</v>
      </c>
      <c r="E602" t="s">
        <v>53</v>
      </c>
      <c r="F602" s="5">
        <v>45121</v>
      </c>
      <c r="G602" s="5">
        <v>45147</v>
      </c>
      <c r="H602" t="s">
        <v>18</v>
      </c>
      <c r="I602">
        <v>2023</v>
      </c>
      <c r="J602">
        <v>26</v>
      </c>
      <c r="K602" t="s">
        <v>19</v>
      </c>
      <c r="L602" t="s">
        <v>20</v>
      </c>
      <c r="M602">
        <v>3</v>
      </c>
      <c r="N602" t="s">
        <v>21</v>
      </c>
      <c r="O602">
        <v>20000</v>
      </c>
      <c r="P602" t="str" cm="1">
        <f t="array" ref="P602">_xlfn.IFS(Hospital_Patient[[#This Row],[Age]]&lt;=18,"Young",Hospital_Patient[[#This Row],[Age]]&lt;=36,"Adult",Hospital_Patient[[#This Row],[Age]]&lt;=60,"Middle Age",Hospital_Patient[[#This Row],[Age]]&gt;60,"Senior")</f>
        <v>Senior</v>
      </c>
      <c r="Q602" t="str" cm="1">
        <f t="array" ref="Q6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02">
        <f>YEAR(Hospital_Patient[[#This Row],[Discharge_Date]])</f>
        <v>2023</v>
      </c>
    </row>
    <row r="603" spans="1:18" hidden="1" x14ac:dyDescent="0.25">
      <c r="A603">
        <v>457</v>
      </c>
      <c r="B603">
        <v>55</v>
      </c>
      <c r="C603" t="s">
        <v>22</v>
      </c>
      <c r="D603" t="s">
        <v>57</v>
      </c>
      <c r="E603" t="s">
        <v>58</v>
      </c>
      <c r="F603" s="5">
        <v>45112</v>
      </c>
      <c r="G603" s="5">
        <v>45146</v>
      </c>
      <c r="H603" t="s">
        <v>77</v>
      </c>
      <c r="I603">
        <v>2023</v>
      </c>
      <c r="J603">
        <v>34</v>
      </c>
      <c r="K603" t="s">
        <v>19</v>
      </c>
      <c r="L603" t="s">
        <v>20</v>
      </c>
      <c r="M603">
        <v>3</v>
      </c>
      <c r="N603" t="s">
        <v>19</v>
      </c>
      <c r="O603">
        <v>6000</v>
      </c>
      <c r="P603" t="str" cm="1">
        <f t="array" ref="P603">_xlfn.IFS(Hospital_Patient[[#This Row],[Age]]&lt;=18,"Young",Hospital_Patient[[#This Row],[Age]]&lt;=36,"Adult",Hospital_Patient[[#This Row],[Age]]&lt;=60,"Middle Age",Hospital_Patient[[#This Row],[Age]]&gt;60,"Senior")</f>
        <v>Middle Age</v>
      </c>
      <c r="Q603" t="str" cm="1">
        <f t="array" ref="Q6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03">
        <f>YEAR(Hospital_Patient[[#This Row],[Discharge_Date]])</f>
        <v>2023</v>
      </c>
    </row>
    <row r="604" spans="1:18" x14ac:dyDescent="0.25">
      <c r="A604">
        <v>109</v>
      </c>
      <c r="B604">
        <v>53</v>
      </c>
      <c r="C604" t="s">
        <v>15</v>
      </c>
      <c r="D604" t="s">
        <v>33</v>
      </c>
      <c r="E604" t="s">
        <v>34</v>
      </c>
      <c r="F604" s="5">
        <v>45128</v>
      </c>
      <c r="G604" s="5">
        <v>45145</v>
      </c>
      <c r="H604" t="s">
        <v>62</v>
      </c>
      <c r="I604">
        <v>2023</v>
      </c>
      <c r="J604">
        <v>17</v>
      </c>
      <c r="K604" t="s">
        <v>21</v>
      </c>
      <c r="L604" t="s">
        <v>20</v>
      </c>
      <c r="M604">
        <v>4</v>
      </c>
      <c r="N604" t="s">
        <v>19</v>
      </c>
      <c r="O604">
        <v>25000</v>
      </c>
      <c r="P604" t="str" cm="1">
        <f t="array" ref="P604">_xlfn.IFS(Hospital_Patient[[#This Row],[Age]]&lt;=18,"Young",Hospital_Patient[[#This Row],[Age]]&lt;=36,"Adult",Hospital_Patient[[#This Row],[Age]]&lt;=60,"Middle Age",Hospital_Patient[[#This Row],[Age]]&gt;60,"Senior")</f>
        <v>Middle Age</v>
      </c>
      <c r="Q604" t="str" cm="1">
        <f t="array" ref="Q6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04">
        <f>YEAR(Hospital_Patient[[#This Row],[Discharge_Date]])</f>
        <v>2023</v>
      </c>
    </row>
    <row r="605" spans="1:18" x14ac:dyDescent="0.25">
      <c r="A605">
        <v>833</v>
      </c>
      <c r="B605">
        <v>45</v>
      </c>
      <c r="C605" t="s">
        <v>15</v>
      </c>
      <c r="D605" t="s">
        <v>39</v>
      </c>
      <c r="E605" t="s">
        <v>40</v>
      </c>
      <c r="F605" s="5">
        <v>45082</v>
      </c>
      <c r="G605" s="5">
        <v>45144</v>
      </c>
      <c r="H605" t="s">
        <v>73</v>
      </c>
      <c r="I605">
        <v>2023</v>
      </c>
      <c r="J605">
        <v>62</v>
      </c>
      <c r="K605" t="s">
        <v>19</v>
      </c>
      <c r="L605" t="s">
        <v>20</v>
      </c>
      <c r="M605">
        <v>3</v>
      </c>
      <c r="N605" t="s">
        <v>19</v>
      </c>
      <c r="O605">
        <v>8000</v>
      </c>
      <c r="P605" t="str" cm="1">
        <f t="array" ref="P605">_xlfn.IFS(Hospital_Patient[[#This Row],[Age]]&lt;=18,"Young",Hospital_Patient[[#This Row],[Age]]&lt;=36,"Adult",Hospital_Patient[[#This Row],[Age]]&lt;=60,"Middle Age",Hospital_Patient[[#This Row],[Age]]&gt;60,"Senior")</f>
        <v>Middle Age</v>
      </c>
      <c r="Q605" t="str" cm="1">
        <f t="array" ref="Q6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05">
        <f>YEAR(Hospital_Patient[[#This Row],[Discharge_Date]])</f>
        <v>2023</v>
      </c>
    </row>
    <row r="606" spans="1:18" hidden="1" x14ac:dyDescent="0.25">
      <c r="A606">
        <v>240</v>
      </c>
      <c r="B606">
        <v>70</v>
      </c>
      <c r="C606" t="s">
        <v>22</v>
      </c>
      <c r="D606" t="s">
        <v>30</v>
      </c>
      <c r="E606" t="s">
        <v>31</v>
      </c>
      <c r="F606" s="5">
        <v>45117</v>
      </c>
      <c r="G606" s="5">
        <v>45140</v>
      </c>
      <c r="H606" t="s">
        <v>35</v>
      </c>
      <c r="I606">
        <v>2023</v>
      </c>
      <c r="J606">
        <v>23</v>
      </c>
      <c r="K606" t="s">
        <v>21</v>
      </c>
      <c r="L606" t="s">
        <v>26</v>
      </c>
      <c r="M606">
        <v>2</v>
      </c>
      <c r="N606" t="s">
        <v>19</v>
      </c>
      <c r="O606">
        <v>10000</v>
      </c>
      <c r="P606" t="str" cm="1">
        <f t="array" ref="P606">_xlfn.IFS(Hospital_Patient[[#This Row],[Age]]&lt;=18,"Young",Hospital_Patient[[#This Row],[Age]]&lt;=36,"Adult",Hospital_Patient[[#This Row],[Age]]&lt;=60,"Middle Age",Hospital_Patient[[#This Row],[Age]]&gt;60,"Senior")</f>
        <v>Senior</v>
      </c>
      <c r="Q606" t="str" cm="1">
        <f t="array" ref="Q6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06">
        <f>YEAR(Hospital_Patient[[#This Row],[Discharge_Date]])</f>
        <v>2023</v>
      </c>
    </row>
    <row r="607" spans="1:18" hidden="1" x14ac:dyDescent="0.25">
      <c r="A607">
        <v>143</v>
      </c>
      <c r="B607">
        <v>28</v>
      </c>
      <c r="C607" t="s">
        <v>22</v>
      </c>
      <c r="D607" t="s">
        <v>47</v>
      </c>
      <c r="E607" t="s">
        <v>48</v>
      </c>
      <c r="F607" s="5">
        <v>45129</v>
      </c>
      <c r="G607" s="5">
        <v>45139</v>
      </c>
      <c r="H607" t="s">
        <v>18</v>
      </c>
      <c r="I607">
        <v>2023</v>
      </c>
      <c r="J607">
        <v>10</v>
      </c>
      <c r="K607" t="s">
        <v>19</v>
      </c>
      <c r="L607" t="s">
        <v>20</v>
      </c>
      <c r="M607">
        <v>5</v>
      </c>
      <c r="N607" t="s">
        <v>19</v>
      </c>
      <c r="O607">
        <v>100</v>
      </c>
      <c r="P607" t="str" cm="1">
        <f t="array" ref="P607">_xlfn.IFS(Hospital_Patient[[#This Row],[Age]]&lt;=18,"Young",Hospital_Patient[[#This Row],[Age]]&lt;=36,"Adult",Hospital_Patient[[#This Row],[Age]]&lt;=60,"Middle Age",Hospital_Patient[[#This Row],[Age]]&gt;60,"Senior")</f>
        <v>Adult</v>
      </c>
      <c r="Q607" t="str" cm="1">
        <f t="array" ref="Q6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07">
        <f>YEAR(Hospital_Patient[[#This Row],[Discharge_Date]])</f>
        <v>2023</v>
      </c>
    </row>
    <row r="608" spans="1:18" hidden="1" x14ac:dyDescent="0.25">
      <c r="A608">
        <v>342</v>
      </c>
      <c r="B608">
        <v>62</v>
      </c>
      <c r="C608" t="s">
        <v>22</v>
      </c>
      <c r="D608" t="s">
        <v>23</v>
      </c>
      <c r="E608" t="s">
        <v>24</v>
      </c>
      <c r="F608" s="5">
        <v>45113</v>
      </c>
      <c r="G608" s="5">
        <v>45139</v>
      </c>
      <c r="H608" t="s">
        <v>25</v>
      </c>
      <c r="I608">
        <v>2023</v>
      </c>
      <c r="J608">
        <v>26</v>
      </c>
      <c r="K608" t="s">
        <v>19</v>
      </c>
      <c r="L608" t="s">
        <v>26</v>
      </c>
      <c r="M608">
        <v>4</v>
      </c>
      <c r="N608" t="s">
        <v>21</v>
      </c>
      <c r="O608">
        <v>2000</v>
      </c>
      <c r="P608" t="str" cm="1">
        <f t="array" ref="P608">_xlfn.IFS(Hospital_Patient[[#This Row],[Age]]&lt;=18,"Young",Hospital_Patient[[#This Row],[Age]]&lt;=36,"Adult",Hospital_Patient[[#This Row],[Age]]&lt;=60,"Middle Age",Hospital_Patient[[#This Row],[Age]]&gt;60,"Senior")</f>
        <v>Senior</v>
      </c>
      <c r="Q608" t="str" cm="1">
        <f t="array" ref="Q6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08">
        <f>YEAR(Hospital_Patient[[#This Row],[Discharge_Date]])</f>
        <v>2023</v>
      </c>
    </row>
    <row r="609" spans="1:18" hidden="1" x14ac:dyDescent="0.25">
      <c r="A609">
        <v>847</v>
      </c>
      <c r="B609">
        <v>72</v>
      </c>
      <c r="C609" t="s">
        <v>22</v>
      </c>
      <c r="D609" t="s">
        <v>36</v>
      </c>
      <c r="E609" t="s">
        <v>37</v>
      </c>
      <c r="F609" s="5">
        <v>45078</v>
      </c>
      <c r="G609" s="5">
        <v>45139</v>
      </c>
      <c r="H609" t="s">
        <v>25</v>
      </c>
      <c r="I609">
        <v>2023</v>
      </c>
      <c r="J609">
        <v>61</v>
      </c>
      <c r="K609" t="s">
        <v>19</v>
      </c>
      <c r="L609" t="s">
        <v>26</v>
      </c>
      <c r="M609">
        <v>4</v>
      </c>
      <c r="N609" t="s">
        <v>21</v>
      </c>
      <c r="O609">
        <v>1000</v>
      </c>
      <c r="P609" t="str" cm="1">
        <f t="array" ref="P609">_xlfn.IFS(Hospital_Patient[[#This Row],[Age]]&lt;=18,"Young",Hospital_Patient[[#This Row],[Age]]&lt;=36,"Adult",Hospital_Patient[[#This Row],[Age]]&lt;=60,"Middle Age",Hospital_Patient[[#This Row],[Age]]&gt;60,"Senior")</f>
        <v>Senior</v>
      </c>
      <c r="Q609" t="str" cm="1">
        <f t="array" ref="Q6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09">
        <f>YEAR(Hospital_Patient[[#This Row],[Discharge_Date]])</f>
        <v>2023</v>
      </c>
    </row>
    <row r="610" spans="1:18" hidden="1" x14ac:dyDescent="0.25">
      <c r="A610">
        <v>767</v>
      </c>
      <c r="B610">
        <v>50</v>
      </c>
      <c r="C610" t="s">
        <v>22</v>
      </c>
      <c r="D610" t="s">
        <v>57</v>
      </c>
      <c r="E610" t="s">
        <v>58</v>
      </c>
      <c r="F610" s="5">
        <v>45080</v>
      </c>
      <c r="G610" s="5">
        <v>45135</v>
      </c>
      <c r="H610" t="s">
        <v>77</v>
      </c>
      <c r="I610">
        <v>2023</v>
      </c>
      <c r="J610">
        <v>55</v>
      </c>
      <c r="K610" t="s">
        <v>19</v>
      </c>
      <c r="L610" t="s">
        <v>20</v>
      </c>
      <c r="M610">
        <v>3</v>
      </c>
      <c r="N610" t="s">
        <v>19</v>
      </c>
      <c r="O610">
        <v>6000</v>
      </c>
      <c r="P610" t="str" cm="1">
        <f t="array" ref="P610">_xlfn.IFS(Hospital_Patient[[#This Row],[Age]]&lt;=18,"Young",Hospital_Patient[[#This Row],[Age]]&lt;=36,"Adult",Hospital_Patient[[#This Row],[Age]]&lt;=60,"Middle Age",Hospital_Patient[[#This Row],[Age]]&gt;60,"Senior")</f>
        <v>Middle Age</v>
      </c>
      <c r="Q610" t="str" cm="1">
        <f t="array" ref="Q6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10">
        <f>YEAR(Hospital_Patient[[#This Row],[Discharge_Date]])</f>
        <v>2023</v>
      </c>
    </row>
    <row r="611" spans="1:18" x14ac:dyDescent="0.25">
      <c r="A611">
        <v>810</v>
      </c>
      <c r="B611">
        <v>32</v>
      </c>
      <c r="C611" t="s">
        <v>15</v>
      </c>
      <c r="D611" t="s">
        <v>54</v>
      </c>
      <c r="E611" t="s">
        <v>55</v>
      </c>
      <c r="F611" s="5">
        <v>45071</v>
      </c>
      <c r="G611" s="5">
        <v>45128</v>
      </c>
      <c r="H611" t="s">
        <v>78</v>
      </c>
      <c r="I611">
        <v>2023</v>
      </c>
      <c r="J611">
        <v>57</v>
      </c>
      <c r="K611" t="s">
        <v>19</v>
      </c>
      <c r="L611" t="s">
        <v>20</v>
      </c>
      <c r="M611">
        <v>4</v>
      </c>
      <c r="N611" t="s">
        <v>19</v>
      </c>
      <c r="O611">
        <v>12000</v>
      </c>
      <c r="P611" t="str" cm="1">
        <f t="array" ref="P611">_xlfn.IFS(Hospital_Patient[[#This Row],[Age]]&lt;=18,"Young",Hospital_Patient[[#This Row],[Age]]&lt;=36,"Adult",Hospital_Patient[[#This Row],[Age]]&lt;=60,"Middle Age",Hospital_Patient[[#This Row],[Age]]&gt;60,"Senior")</f>
        <v>Adult</v>
      </c>
      <c r="Q611" t="str" cm="1">
        <f t="array" ref="Q6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11">
        <f>YEAR(Hospital_Patient[[#This Row],[Discharge_Date]])</f>
        <v>2023</v>
      </c>
    </row>
    <row r="612" spans="1:18" hidden="1" x14ac:dyDescent="0.25">
      <c r="A612">
        <v>814</v>
      </c>
      <c r="B612">
        <v>62</v>
      </c>
      <c r="C612" t="s">
        <v>22</v>
      </c>
      <c r="D612" t="s">
        <v>23</v>
      </c>
      <c r="E612" t="s">
        <v>24</v>
      </c>
      <c r="F612" s="5">
        <v>45069</v>
      </c>
      <c r="G612" s="5">
        <v>45127</v>
      </c>
      <c r="H612" t="s">
        <v>71</v>
      </c>
      <c r="I612">
        <v>2023</v>
      </c>
      <c r="J612">
        <v>58</v>
      </c>
      <c r="K612" t="s">
        <v>19</v>
      </c>
      <c r="L612" t="s">
        <v>26</v>
      </c>
      <c r="M612">
        <v>4</v>
      </c>
      <c r="N612" t="s">
        <v>21</v>
      </c>
      <c r="O612">
        <v>2000</v>
      </c>
      <c r="P612" t="str" cm="1">
        <f t="array" ref="P612">_xlfn.IFS(Hospital_Patient[[#This Row],[Age]]&lt;=18,"Young",Hospital_Patient[[#This Row],[Age]]&lt;=36,"Adult",Hospital_Patient[[#This Row],[Age]]&lt;=60,"Middle Age",Hospital_Patient[[#This Row],[Age]]&gt;60,"Senior")</f>
        <v>Senior</v>
      </c>
      <c r="Q612" t="str" cm="1">
        <f t="array" ref="Q6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12">
        <f>YEAR(Hospital_Patient[[#This Row],[Discharge_Date]])</f>
        <v>2023</v>
      </c>
    </row>
    <row r="613" spans="1:18" hidden="1" x14ac:dyDescent="0.25">
      <c r="A613">
        <v>21</v>
      </c>
      <c r="B613">
        <v>72</v>
      </c>
      <c r="C613" t="s">
        <v>22</v>
      </c>
      <c r="D613" t="s">
        <v>36</v>
      </c>
      <c r="E613" t="s">
        <v>37</v>
      </c>
      <c r="F613" s="5">
        <v>45123</v>
      </c>
      <c r="G613" s="5">
        <v>45126</v>
      </c>
      <c r="H613" t="s">
        <v>25</v>
      </c>
      <c r="I613">
        <v>2023</v>
      </c>
      <c r="J613">
        <v>3</v>
      </c>
      <c r="K613" t="s">
        <v>19</v>
      </c>
      <c r="L613" t="s">
        <v>26</v>
      </c>
      <c r="M613">
        <v>4</v>
      </c>
      <c r="N613" t="s">
        <v>19</v>
      </c>
      <c r="O613">
        <v>1000</v>
      </c>
      <c r="P613" t="str" cm="1">
        <f t="array" ref="P613">_xlfn.IFS(Hospital_Patient[[#This Row],[Age]]&lt;=18,"Young",Hospital_Patient[[#This Row],[Age]]&lt;=36,"Adult",Hospital_Patient[[#This Row],[Age]]&lt;=60,"Middle Age",Hospital_Patient[[#This Row],[Age]]&gt;60,"Senior")</f>
        <v>Senior</v>
      </c>
      <c r="Q613" t="str" cm="1">
        <f t="array" ref="Q6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13">
        <f>YEAR(Hospital_Patient[[#This Row],[Discharge_Date]])</f>
        <v>2023</v>
      </c>
    </row>
    <row r="614" spans="1:18" hidden="1" x14ac:dyDescent="0.25">
      <c r="A614">
        <v>624</v>
      </c>
      <c r="B614">
        <v>70</v>
      </c>
      <c r="C614" t="s">
        <v>22</v>
      </c>
      <c r="D614" t="s">
        <v>30</v>
      </c>
      <c r="E614" t="s">
        <v>31</v>
      </c>
      <c r="F614" s="5">
        <v>45076</v>
      </c>
      <c r="G614" s="5">
        <v>45126</v>
      </c>
      <c r="H614" t="s">
        <v>32</v>
      </c>
      <c r="I614">
        <v>2023</v>
      </c>
      <c r="J614">
        <v>50</v>
      </c>
      <c r="K614" t="s">
        <v>21</v>
      </c>
      <c r="L614" t="s">
        <v>26</v>
      </c>
      <c r="M614">
        <v>2</v>
      </c>
      <c r="N614" t="s">
        <v>21</v>
      </c>
      <c r="O614">
        <v>10000</v>
      </c>
      <c r="P614" t="str" cm="1">
        <f t="array" ref="P614">_xlfn.IFS(Hospital_Patient[[#This Row],[Age]]&lt;=18,"Young",Hospital_Patient[[#This Row],[Age]]&lt;=36,"Adult",Hospital_Patient[[#This Row],[Age]]&lt;=60,"Middle Age",Hospital_Patient[[#This Row],[Age]]&gt;60,"Senior")</f>
        <v>Senior</v>
      </c>
      <c r="Q614" t="str" cm="1">
        <f t="array" ref="Q6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14">
        <f>YEAR(Hospital_Patient[[#This Row],[Discharge_Date]])</f>
        <v>2023</v>
      </c>
    </row>
    <row r="615" spans="1:18" hidden="1" x14ac:dyDescent="0.25">
      <c r="A615">
        <v>862</v>
      </c>
      <c r="B615">
        <v>68</v>
      </c>
      <c r="C615" t="s">
        <v>22</v>
      </c>
      <c r="D615" t="s">
        <v>36</v>
      </c>
      <c r="E615" t="s">
        <v>37</v>
      </c>
      <c r="F615" s="5">
        <v>45064</v>
      </c>
      <c r="G615" s="5">
        <v>45126</v>
      </c>
      <c r="H615" t="s">
        <v>79</v>
      </c>
      <c r="I615">
        <v>2023</v>
      </c>
      <c r="J615">
        <v>62</v>
      </c>
      <c r="K615" t="s">
        <v>19</v>
      </c>
      <c r="L615" t="s">
        <v>26</v>
      </c>
      <c r="M615">
        <v>4</v>
      </c>
      <c r="N615" t="s">
        <v>19</v>
      </c>
      <c r="O615">
        <v>1000</v>
      </c>
      <c r="P615" t="str" cm="1">
        <f t="array" ref="P615">_xlfn.IFS(Hospital_Patient[[#This Row],[Age]]&lt;=18,"Young",Hospital_Patient[[#This Row],[Age]]&lt;=36,"Adult",Hospital_Patient[[#This Row],[Age]]&lt;=60,"Middle Age",Hospital_Patient[[#This Row],[Age]]&gt;60,"Senior")</f>
        <v>Senior</v>
      </c>
      <c r="Q615" t="str" cm="1">
        <f t="array" ref="Q6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15">
        <f>YEAR(Hospital_Patient[[#This Row],[Discharge_Date]])</f>
        <v>2023</v>
      </c>
    </row>
    <row r="616" spans="1:18" x14ac:dyDescent="0.25">
      <c r="A616">
        <v>682</v>
      </c>
      <c r="B616">
        <v>30</v>
      </c>
      <c r="C616" t="s">
        <v>15</v>
      </c>
      <c r="D616" t="s">
        <v>27</v>
      </c>
      <c r="E616" t="s">
        <v>28</v>
      </c>
      <c r="F616" s="5">
        <v>45078</v>
      </c>
      <c r="G616" s="5">
        <v>45125</v>
      </c>
      <c r="H616" t="s">
        <v>70</v>
      </c>
      <c r="I616">
        <v>2023</v>
      </c>
      <c r="J616">
        <v>47</v>
      </c>
      <c r="K616" t="s">
        <v>19</v>
      </c>
      <c r="L616" t="s">
        <v>20</v>
      </c>
      <c r="M616">
        <v>5</v>
      </c>
      <c r="N616" t="s">
        <v>19</v>
      </c>
      <c r="O616">
        <v>500</v>
      </c>
      <c r="P616" t="str" cm="1">
        <f t="array" ref="P616">_xlfn.IFS(Hospital_Patient[[#This Row],[Age]]&lt;=18,"Young",Hospital_Patient[[#This Row],[Age]]&lt;=36,"Adult",Hospital_Patient[[#This Row],[Age]]&lt;=60,"Middle Age",Hospital_Patient[[#This Row],[Age]]&gt;60,"Senior")</f>
        <v>Adult</v>
      </c>
      <c r="Q616" t="str" cm="1">
        <f t="array" ref="Q6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16">
        <f>YEAR(Hospital_Patient[[#This Row],[Discharge_Date]])</f>
        <v>2023</v>
      </c>
    </row>
    <row r="617" spans="1:18" x14ac:dyDescent="0.25">
      <c r="A617">
        <v>48</v>
      </c>
      <c r="B617">
        <v>35</v>
      </c>
      <c r="C617" t="s">
        <v>15</v>
      </c>
      <c r="D617" t="s">
        <v>27</v>
      </c>
      <c r="E617" t="s">
        <v>28</v>
      </c>
      <c r="F617" s="5">
        <v>45119</v>
      </c>
      <c r="G617" s="5">
        <v>45123</v>
      </c>
      <c r="H617" t="s">
        <v>29</v>
      </c>
      <c r="I617">
        <v>2023</v>
      </c>
      <c r="J617">
        <v>4</v>
      </c>
      <c r="K617" t="s">
        <v>21</v>
      </c>
      <c r="L617" t="s">
        <v>20</v>
      </c>
      <c r="M617">
        <v>5</v>
      </c>
      <c r="N617" t="s">
        <v>19</v>
      </c>
      <c r="O617">
        <v>500</v>
      </c>
      <c r="P617" t="str" cm="1">
        <f t="array" ref="P617">_xlfn.IFS(Hospital_Patient[[#This Row],[Age]]&lt;=18,"Young",Hospital_Patient[[#This Row],[Age]]&lt;=36,"Adult",Hospital_Patient[[#This Row],[Age]]&lt;=60,"Middle Age",Hospital_Patient[[#This Row],[Age]]&gt;60,"Senior")</f>
        <v>Adult</v>
      </c>
      <c r="Q617" t="str" cm="1">
        <f t="array" ref="Q6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17">
        <f>YEAR(Hospital_Patient[[#This Row],[Discharge_Date]])</f>
        <v>2023</v>
      </c>
    </row>
    <row r="618" spans="1:18" hidden="1" x14ac:dyDescent="0.25">
      <c r="A618">
        <v>88</v>
      </c>
      <c r="B618">
        <v>50</v>
      </c>
      <c r="C618" t="s">
        <v>22</v>
      </c>
      <c r="D618" t="s">
        <v>57</v>
      </c>
      <c r="E618" t="s">
        <v>58</v>
      </c>
      <c r="F618" s="5">
        <v>45114</v>
      </c>
      <c r="G618" s="5">
        <v>45123</v>
      </c>
      <c r="H618" t="s">
        <v>44</v>
      </c>
      <c r="I618">
        <v>2023</v>
      </c>
      <c r="J618">
        <v>9</v>
      </c>
      <c r="K618" t="s">
        <v>19</v>
      </c>
      <c r="L618" t="s">
        <v>20</v>
      </c>
      <c r="M618">
        <v>3</v>
      </c>
      <c r="N618" t="s">
        <v>19</v>
      </c>
      <c r="O618">
        <v>6000</v>
      </c>
      <c r="P618" t="str" cm="1">
        <f t="array" ref="P618">_xlfn.IFS(Hospital_Patient[[#This Row],[Age]]&lt;=18,"Young",Hospital_Patient[[#This Row],[Age]]&lt;=36,"Adult",Hospital_Patient[[#This Row],[Age]]&lt;=60,"Middle Age",Hospital_Patient[[#This Row],[Age]]&gt;60,"Senior")</f>
        <v>Middle Age</v>
      </c>
      <c r="Q618" t="str" cm="1">
        <f t="array" ref="Q6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18">
        <f>YEAR(Hospital_Patient[[#This Row],[Discharge_Date]])</f>
        <v>2023</v>
      </c>
    </row>
    <row r="619" spans="1:18" x14ac:dyDescent="0.25">
      <c r="A619">
        <v>231</v>
      </c>
      <c r="B619">
        <v>75</v>
      </c>
      <c r="C619" t="s">
        <v>15</v>
      </c>
      <c r="D619" t="s">
        <v>45</v>
      </c>
      <c r="E619" t="s">
        <v>46</v>
      </c>
      <c r="F619" s="5">
        <v>45100</v>
      </c>
      <c r="G619" s="5">
        <v>45123</v>
      </c>
      <c r="H619" t="s">
        <v>18</v>
      </c>
      <c r="I619">
        <v>2023</v>
      </c>
      <c r="J619">
        <v>23</v>
      </c>
      <c r="K619" t="s">
        <v>21</v>
      </c>
      <c r="L619" t="s">
        <v>26</v>
      </c>
      <c r="M619">
        <v>2</v>
      </c>
      <c r="N619" t="s">
        <v>19</v>
      </c>
      <c r="O619">
        <v>18000</v>
      </c>
      <c r="P619" t="str" cm="1">
        <f t="array" ref="P619">_xlfn.IFS(Hospital_Patient[[#This Row],[Age]]&lt;=18,"Young",Hospital_Patient[[#This Row],[Age]]&lt;=36,"Adult",Hospital_Patient[[#This Row],[Age]]&lt;=60,"Middle Age",Hospital_Patient[[#This Row],[Age]]&gt;60,"Senior")</f>
        <v>Senior</v>
      </c>
      <c r="Q619" t="str" cm="1">
        <f t="array" ref="Q6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19">
        <f>YEAR(Hospital_Patient[[#This Row],[Discharge_Date]])</f>
        <v>2023</v>
      </c>
    </row>
    <row r="620" spans="1:18" x14ac:dyDescent="0.25">
      <c r="A620">
        <v>148</v>
      </c>
      <c r="B620">
        <v>60</v>
      </c>
      <c r="C620" t="s">
        <v>15</v>
      </c>
      <c r="D620" t="s">
        <v>59</v>
      </c>
      <c r="E620" t="s">
        <v>60</v>
      </c>
      <c r="F620" s="5">
        <v>45108</v>
      </c>
      <c r="G620" s="5">
        <v>45122</v>
      </c>
      <c r="H620" t="s">
        <v>61</v>
      </c>
      <c r="I620">
        <v>2023</v>
      </c>
      <c r="J620">
        <v>14</v>
      </c>
      <c r="K620" t="s">
        <v>19</v>
      </c>
      <c r="L620" t="s">
        <v>26</v>
      </c>
      <c r="M620">
        <v>4</v>
      </c>
      <c r="N620" t="s">
        <v>19</v>
      </c>
      <c r="O620">
        <v>4000</v>
      </c>
      <c r="P620" t="str" cm="1">
        <f t="array" ref="P620">_xlfn.IFS(Hospital_Patient[[#This Row],[Age]]&lt;=18,"Young",Hospital_Patient[[#This Row],[Age]]&lt;=36,"Adult",Hospital_Patient[[#This Row],[Age]]&lt;=60,"Middle Age",Hospital_Patient[[#This Row],[Age]]&gt;60,"Senior")</f>
        <v>Middle Age</v>
      </c>
      <c r="Q620" t="str" cm="1">
        <f t="array" ref="Q6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20">
        <f>YEAR(Hospital_Patient[[#This Row],[Discharge_Date]])</f>
        <v>2023</v>
      </c>
    </row>
    <row r="621" spans="1:18" hidden="1" x14ac:dyDescent="0.25">
      <c r="A621">
        <v>578</v>
      </c>
      <c r="B621">
        <v>62</v>
      </c>
      <c r="C621" t="s">
        <v>22</v>
      </c>
      <c r="D621" t="s">
        <v>23</v>
      </c>
      <c r="E621" t="s">
        <v>24</v>
      </c>
      <c r="F621" s="5">
        <v>45080</v>
      </c>
      <c r="G621" s="5">
        <v>45122</v>
      </c>
      <c r="H621" t="s">
        <v>71</v>
      </c>
      <c r="I621">
        <v>2023</v>
      </c>
      <c r="J621">
        <v>42</v>
      </c>
      <c r="K621" t="s">
        <v>19</v>
      </c>
      <c r="L621" t="s">
        <v>26</v>
      </c>
      <c r="M621">
        <v>4</v>
      </c>
      <c r="N621" t="s">
        <v>19</v>
      </c>
      <c r="O621">
        <v>2000</v>
      </c>
      <c r="P621" t="str" cm="1">
        <f t="array" ref="P621">_xlfn.IFS(Hospital_Patient[[#This Row],[Age]]&lt;=18,"Young",Hospital_Patient[[#This Row],[Age]]&lt;=36,"Adult",Hospital_Patient[[#This Row],[Age]]&lt;=60,"Middle Age",Hospital_Patient[[#This Row],[Age]]&gt;60,"Senior")</f>
        <v>Senior</v>
      </c>
      <c r="Q621" t="str" cm="1">
        <f t="array" ref="Q6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21">
        <f>YEAR(Hospital_Patient[[#This Row],[Discharge_Date]])</f>
        <v>2023</v>
      </c>
    </row>
    <row r="622" spans="1:18" hidden="1" x14ac:dyDescent="0.25">
      <c r="A622">
        <v>438</v>
      </c>
      <c r="B622">
        <v>28</v>
      </c>
      <c r="C622" t="s">
        <v>22</v>
      </c>
      <c r="D622" t="s">
        <v>47</v>
      </c>
      <c r="E622" t="s">
        <v>48</v>
      </c>
      <c r="F622" s="5">
        <v>45091</v>
      </c>
      <c r="G622" s="5">
        <v>45121</v>
      </c>
      <c r="H622" t="s">
        <v>74</v>
      </c>
      <c r="I622">
        <v>2023</v>
      </c>
      <c r="J622">
        <v>30</v>
      </c>
      <c r="K622" t="s">
        <v>19</v>
      </c>
      <c r="L622" t="s">
        <v>20</v>
      </c>
      <c r="M622">
        <v>5</v>
      </c>
      <c r="N622" t="s">
        <v>19</v>
      </c>
      <c r="O622">
        <v>100</v>
      </c>
      <c r="P622" t="str" cm="1">
        <f t="array" ref="P622">_xlfn.IFS(Hospital_Patient[[#This Row],[Age]]&lt;=18,"Young",Hospital_Patient[[#This Row],[Age]]&lt;=36,"Adult",Hospital_Patient[[#This Row],[Age]]&lt;=60,"Middle Age",Hospital_Patient[[#This Row],[Age]]&gt;60,"Senior")</f>
        <v>Adult</v>
      </c>
      <c r="Q622" t="str" cm="1">
        <f t="array" ref="Q6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22">
        <f>YEAR(Hospital_Patient[[#This Row],[Discharge_Date]])</f>
        <v>2023</v>
      </c>
    </row>
    <row r="623" spans="1:18" hidden="1" x14ac:dyDescent="0.25">
      <c r="A623">
        <v>571</v>
      </c>
      <c r="B623">
        <v>25</v>
      </c>
      <c r="C623" t="s">
        <v>22</v>
      </c>
      <c r="D623" t="s">
        <v>47</v>
      </c>
      <c r="E623" t="s">
        <v>48</v>
      </c>
      <c r="F623" s="5">
        <v>45080</v>
      </c>
      <c r="G623" s="5">
        <v>45119</v>
      </c>
      <c r="H623" t="s">
        <v>18</v>
      </c>
      <c r="I623">
        <v>2023</v>
      </c>
      <c r="J623">
        <v>39</v>
      </c>
      <c r="K623" t="s">
        <v>19</v>
      </c>
      <c r="L623" t="s">
        <v>20</v>
      </c>
      <c r="M623">
        <v>5</v>
      </c>
      <c r="N623" t="s">
        <v>21</v>
      </c>
      <c r="O623">
        <v>100</v>
      </c>
      <c r="P623" t="str" cm="1">
        <f t="array" ref="P623">_xlfn.IFS(Hospital_Patient[[#This Row],[Age]]&lt;=18,"Young",Hospital_Patient[[#This Row],[Age]]&lt;=36,"Adult",Hospital_Patient[[#This Row],[Age]]&lt;=60,"Middle Age",Hospital_Patient[[#This Row],[Age]]&gt;60,"Senior")</f>
        <v>Adult</v>
      </c>
      <c r="Q623" t="str" cm="1">
        <f t="array" ref="Q6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23">
        <f>YEAR(Hospital_Patient[[#This Row],[Discharge_Date]])</f>
        <v>2023</v>
      </c>
    </row>
    <row r="624" spans="1:18" x14ac:dyDescent="0.25">
      <c r="A624">
        <v>123</v>
      </c>
      <c r="B624">
        <v>55</v>
      </c>
      <c r="C624" t="s">
        <v>15</v>
      </c>
      <c r="D624" t="s">
        <v>33</v>
      </c>
      <c r="E624" t="s">
        <v>34</v>
      </c>
      <c r="F624" s="5">
        <v>45099</v>
      </c>
      <c r="G624" s="5">
        <v>45117</v>
      </c>
      <c r="H624" t="s">
        <v>18</v>
      </c>
      <c r="I624">
        <v>2023</v>
      </c>
      <c r="J624">
        <v>18</v>
      </c>
      <c r="K624" t="s">
        <v>19</v>
      </c>
      <c r="L624" t="s">
        <v>20</v>
      </c>
      <c r="M624">
        <v>4</v>
      </c>
      <c r="N624" t="s">
        <v>19</v>
      </c>
      <c r="O624">
        <v>25000</v>
      </c>
      <c r="P624" t="str" cm="1">
        <f t="array" ref="P624">_xlfn.IFS(Hospital_Patient[[#This Row],[Age]]&lt;=18,"Young",Hospital_Patient[[#This Row],[Age]]&lt;=36,"Adult",Hospital_Patient[[#This Row],[Age]]&lt;=60,"Middle Age",Hospital_Patient[[#This Row],[Age]]&gt;60,"Senior")</f>
        <v>Middle Age</v>
      </c>
      <c r="Q624" t="str" cm="1">
        <f t="array" ref="Q6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24">
        <f>YEAR(Hospital_Patient[[#This Row],[Discharge_Date]])</f>
        <v>2023</v>
      </c>
    </row>
    <row r="625" spans="1:18" hidden="1" x14ac:dyDescent="0.25">
      <c r="A625">
        <v>248</v>
      </c>
      <c r="B625">
        <v>58</v>
      </c>
      <c r="C625" t="s">
        <v>22</v>
      </c>
      <c r="D625" t="s">
        <v>52</v>
      </c>
      <c r="E625" t="s">
        <v>53</v>
      </c>
      <c r="F625" s="5">
        <v>45092</v>
      </c>
      <c r="G625" s="5">
        <v>45117</v>
      </c>
      <c r="H625" t="s">
        <v>67</v>
      </c>
      <c r="I625">
        <v>2023</v>
      </c>
      <c r="J625">
        <v>25</v>
      </c>
      <c r="K625" t="s">
        <v>19</v>
      </c>
      <c r="L625" t="s">
        <v>20</v>
      </c>
      <c r="M625">
        <v>3</v>
      </c>
      <c r="N625" t="s">
        <v>19</v>
      </c>
      <c r="O625">
        <v>20000</v>
      </c>
      <c r="P625" t="str" cm="1">
        <f t="array" ref="P625">_xlfn.IFS(Hospital_Patient[[#This Row],[Age]]&lt;=18,"Young",Hospital_Patient[[#This Row],[Age]]&lt;=36,"Adult",Hospital_Patient[[#This Row],[Age]]&lt;=60,"Middle Age",Hospital_Patient[[#This Row],[Age]]&gt;60,"Senior")</f>
        <v>Middle Age</v>
      </c>
      <c r="Q625" t="str" cm="1">
        <f t="array" ref="Q6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25">
        <f>YEAR(Hospital_Patient[[#This Row],[Discharge_Date]])</f>
        <v>2023</v>
      </c>
    </row>
    <row r="626" spans="1:18" x14ac:dyDescent="0.25">
      <c r="A626">
        <v>233</v>
      </c>
      <c r="B626">
        <v>52</v>
      </c>
      <c r="C626" t="s">
        <v>15</v>
      </c>
      <c r="D626" t="s">
        <v>49</v>
      </c>
      <c r="E626" t="s">
        <v>50</v>
      </c>
      <c r="F626" s="5">
        <v>45099</v>
      </c>
      <c r="G626" s="5">
        <v>45116</v>
      </c>
      <c r="H626" t="s">
        <v>64</v>
      </c>
      <c r="I626">
        <v>2023</v>
      </c>
      <c r="J626">
        <v>17</v>
      </c>
      <c r="K626" t="s">
        <v>19</v>
      </c>
      <c r="L626" t="s">
        <v>26</v>
      </c>
      <c r="M626">
        <v>4</v>
      </c>
      <c r="N626" t="s">
        <v>19</v>
      </c>
      <c r="O626">
        <v>800</v>
      </c>
      <c r="P626" t="str" cm="1">
        <f t="array" ref="P626">_xlfn.IFS(Hospital_Patient[[#This Row],[Age]]&lt;=18,"Young",Hospital_Patient[[#This Row],[Age]]&lt;=36,"Adult",Hospital_Patient[[#This Row],[Age]]&lt;=60,"Middle Age",Hospital_Patient[[#This Row],[Age]]&gt;60,"Senior")</f>
        <v>Middle Age</v>
      </c>
      <c r="Q626" t="str" cm="1">
        <f t="array" ref="Q6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26">
        <f>YEAR(Hospital_Patient[[#This Row],[Discharge_Date]])</f>
        <v>2023</v>
      </c>
    </row>
    <row r="627" spans="1:18" hidden="1" x14ac:dyDescent="0.25">
      <c r="A627">
        <v>615</v>
      </c>
      <c r="B627">
        <v>28</v>
      </c>
      <c r="C627" t="s">
        <v>22</v>
      </c>
      <c r="D627" t="s">
        <v>47</v>
      </c>
      <c r="E627" t="s">
        <v>48</v>
      </c>
      <c r="F627" s="5">
        <v>45072</v>
      </c>
      <c r="G627" s="5">
        <v>45114</v>
      </c>
      <c r="H627" t="s">
        <v>74</v>
      </c>
      <c r="I627">
        <v>2023</v>
      </c>
      <c r="J627">
        <v>42</v>
      </c>
      <c r="K627" t="s">
        <v>19</v>
      </c>
      <c r="L627" t="s">
        <v>20</v>
      </c>
      <c r="M627">
        <v>5</v>
      </c>
      <c r="N627" t="s">
        <v>19</v>
      </c>
      <c r="O627">
        <v>100</v>
      </c>
      <c r="P627" t="str" cm="1">
        <f t="array" ref="P627">_xlfn.IFS(Hospital_Patient[[#This Row],[Age]]&lt;=18,"Young",Hospital_Patient[[#This Row],[Age]]&lt;=36,"Adult",Hospital_Patient[[#This Row],[Age]]&lt;=60,"Middle Age",Hospital_Patient[[#This Row],[Age]]&gt;60,"Senior")</f>
        <v>Adult</v>
      </c>
      <c r="Q627" t="str" cm="1">
        <f t="array" ref="Q6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27">
        <f>YEAR(Hospital_Patient[[#This Row],[Discharge_Date]])</f>
        <v>2023</v>
      </c>
    </row>
    <row r="628" spans="1:18" hidden="1" x14ac:dyDescent="0.25">
      <c r="A628">
        <v>84</v>
      </c>
      <c r="B628">
        <v>28</v>
      </c>
      <c r="C628" t="s">
        <v>22</v>
      </c>
      <c r="D628" t="s">
        <v>47</v>
      </c>
      <c r="E628" t="s">
        <v>48</v>
      </c>
      <c r="F628" s="5">
        <v>45107</v>
      </c>
      <c r="G628" s="5">
        <v>45113</v>
      </c>
      <c r="H628" t="s">
        <v>73</v>
      </c>
      <c r="I628">
        <v>2023</v>
      </c>
      <c r="J628">
        <v>6</v>
      </c>
      <c r="K628" t="s">
        <v>19</v>
      </c>
      <c r="L628" t="s">
        <v>20</v>
      </c>
      <c r="M628">
        <v>5</v>
      </c>
      <c r="N628" t="s">
        <v>19</v>
      </c>
      <c r="O628">
        <v>100</v>
      </c>
      <c r="P628" t="str" cm="1">
        <f t="array" ref="P628">_xlfn.IFS(Hospital_Patient[[#This Row],[Age]]&lt;=18,"Young",Hospital_Patient[[#This Row],[Age]]&lt;=36,"Adult",Hospital_Patient[[#This Row],[Age]]&lt;=60,"Middle Age",Hospital_Patient[[#This Row],[Age]]&gt;60,"Senior")</f>
        <v>Adult</v>
      </c>
      <c r="Q628" t="str" cm="1">
        <f t="array" ref="Q6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28">
        <f>YEAR(Hospital_Patient[[#This Row],[Discharge_Date]])</f>
        <v>2023</v>
      </c>
    </row>
    <row r="629" spans="1:18" x14ac:dyDescent="0.25">
      <c r="A629">
        <v>791</v>
      </c>
      <c r="B629">
        <v>75</v>
      </c>
      <c r="C629" t="s">
        <v>15</v>
      </c>
      <c r="D629" t="s">
        <v>45</v>
      </c>
      <c r="E629" t="s">
        <v>46</v>
      </c>
      <c r="F629" s="5">
        <v>45051</v>
      </c>
      <c r="G629" s="5">
        <v>45112</v>
      </c>
      <c r="H629" t="s">
        <v>18</v>
      </c>
      <c r="I629">
        <v>2023</v>
      </c>
      <c r="J629">
        <v>61</v>
      </c>
      <c r="K629" t="s">
        <v>21</v>
      </c>
      <c r="L629" t="s">
        <v>26</v>
      </c>
      <c r="M629">
        <v>2</v>
      </c>
      <c r="N629" t="s">
        <v>19</v>
      </c>
      <c r="O629">
        <v>18000</v>
      </c>
      <c r="P629" t="str" cm="1">
        <f t="array" ref="P629">_xlfn.IFS(Hospital_Patient[[#This Row],[Age]]&lt;=18,"Young",Hospital_Patient[[#This Row],[Age]]&lt;=36,"Adult",Hospital_Patient[[#This Row],[Age]]&lt;=60,"Middle Age",Hospital_Patient[[#This Row],[Age]]&gt;60,"Senior")</f>
        <v>Senior</v>
      </c>
      <c r="Q629" t="str" cm="1">
        <f t="array" ref="Q6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29">
        <f>YEAR(Hospital_Patient[[#This Row],[Discharge_Date]])</f>
        <v>2023</v>
      </c>
    </row>
    <row r="630" spans="1:18" x14ac:dyDescent="0.25">
      <c r="A630">
        <v>821</v>
      </c>
      <c r="B630">
        <v>75</v>
      </c>
      <c r="C630" t="s">
        <v>15</v>
      </c>
      <c r="D630" t="s">
        <v>45</v>
      </c>
      <c r="E630" t="s">
        <v>46</v>
      </c>
      <c r="F630" s="5">
        <v>45046</v>
      </c>
      <c r="G630" s="5">
        <v>45109</v>
      </c>
      <c r="H630" t="s">
        <v>18</v>
      </c>
      <c r="I630">
        <v>2023</v>
      </c>
      <c r="J630">
        <v>63</v>
      </c>
      <c r="K630" t="s">
        <v>21</v>
      </c>
      <c r="L630" t="s">
        <v>26</v>
      </c>
      <c r="M630">
        <v>2</v>
      </c>
      <c r="N630" t="s">
        <v>19</v>
      </c>
      <c r="O630">
        <v>18000</v>
      </c>
      <c r="P630" t="str" cm="1">
        <f t="array" ref="P630">_xlfn.IFS(Hospital_Patient[[#This Row],[Age]]&lt;=18,"Young",Hospital_Patient[[#This Row],[Age]]&lt;=36,"Adult",Hospital_Patient[[#This Row],[Age]]&lt;=60,"Middle Age",Hospital_Patient[[#This Row],[Age]]&gt;60,"Senior")</f>
        <v>Senior</v>
      </c>
      <c r="Q630" t="str" cm="1">
        <f t="array" ref="Q6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30">
        <f>YEAR(Hospital_Patient[[#This Row],[Discharge_Date]])</f>
        <v>2023</v>
      </c>
    </row>
    <row r="631" spans="1:18" x14ac:dyDescent="0.25">
      <c r="A631">
        <v>564</v>
      </c>
      <c r="B631">
        <v>30</v>
      </c>
      <c r="C631" t="s">
        <v>15</v>
      </c>
      <c r="D631" t="s">
        <v>27</v>
      </c>
      <c r="E631" t="s">
        <v>28</v>
      </c>
      <c r="F631" s="5">
        <v>45069</v>
      </c>
      <c r="G631" s="5">
        <v>45108</v>
      </c>
      <c r="H631" t="s">
        <v>29</v>
      </c>
      <c r="I631">
        <v>2023</v>
      </c>
      <c r="J631">
        <v>39</v>
      </c>
      <c r="K631" t="s">
        <v>19</v>
      </c>
      <c r="L631" t="s">
        <v>20</v>
      </c>
      <c r="M631">
        <v>5</v>
      </c>
      <c r="N631" t="s">
        <v>19</v>
      </c>
      <c r="O631">
        <v>500</v>
      </c>
      <c r="P631" t="str" cm="1">
        <f t="array" ref="P631">_xlfn.IFS(Hospital_Patient[[#This Row],[Age]]&lt;=18,"Young",Hospital_Patient[[#This Row],[Age]]&lt;=36,"Adult",Hospital_Patient[[#This Row],[Age]]&lt;=60,"Middle Age",Hospital_Patient[[#This Row],[Age]]&gt;60,"Senior")</f>
        <v>Adult</v>
      </c>
      <c r="Q631" t="str" cm="1">
        <f t="array" ref="Q6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31">
        <f>YEAR(Hospital_Patient[[#This Row],[Discharge_Date]])</f>
        <v>2023</v>
      </c>
    </row>
    <row r="632" spans="1:18" x14ac:dyDescent="0.25">
      <c r="A632">
        <v>517</v>
      </c>
      <c r="B632">
        <v>65</v>
      </c>
      <c r="C632" t="s">
        <v>15</v>
      </c>
      <c r="D632" t="s">
        <v>59</v>
      </c>
      <c r="E632" t="s">
        <v>60</v>
      </c>
      <c r="F632" s="5">
        <v>45068</v>
      </c>
      <c r="G632" s="5">
        <v>45107</v>
      </c>
      <c r="H632" t="s">
        <v>75</v>
      </c>
      <c r="I632">
        <v>2023</v>
      </c>
      <c r="J632">
        <v>39</v>
      </c>
      <c r="K632" t="s">
        <v>19</v>
      </c>
      <c r="L632" t="s">
        <v>26</v>
      </c>
      <c r="M632">
        <v>4</v>
      </c>
      <c r="N632" t="s">
        <v>19</v>
      </c>
      <c r="O632">
        <v>4000</v>
      </c>
      <c r="P632" t="str" cm="1">
        <f t="array" ref="P632">_xlfn.IFS(Hospital_Patient[[#This Row],[Age]]&lt;=18,"Young",Hospital_Patient[[#This Row],[Age]]&lt;=36,"Adult",Hospital_Patient[[#This Row],[Age]]&lt;=60,"Middle Age",Hospital_Patient[[#This Row],[Age]]&gt;60,"Senior")</f>
        <v>Senior</v>
      </c>
      <c r="Q632" t="str" cm="1">
        <f t="array" ref="Q6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32">
        <f>YEAR(Hospital_Patient[[#This Row],[Discharge_Date]])</f>
        <v>2023</v>
      </c>
    </row>
    <row r="633" spans="1:18" x14ac:dyDescent="0.25">
      <c r="A633">
        <v>540</v>
      </c>
      <c r="B633">
        <v>78</v>
      </c>
      <c r="C633" t="s">
        <v>15</v>
      </c>
      <c r="D633" t="s">
        <v>45</v>
      </c>
      <c r="E633" t="s">
        <v>46</v>
      </c>
      <c r="F633" s="5">
        <v>45063</v>
      </c>
      <c r="G633" s="5">
        <v>45107</v>
      </c>
      <c r="H633" t="s">
        <v>69</v>
      </c>
      <c r="I633">
        <v>2023</v>
      </c>
      <c r="J633">
        <v>44</v>
      </c>
      <c r="K633" t="s">
        <v>21</v>
      </c>
      <c r="L633" t="s">
        <v>26</v>
      </c>
      <c r="M633">
        <v>2</v>
      </c>
      <c r="N633" t="s">
        <v>19</v>
      </c>
      <c r="O633">
        <v>18000</v>
      </c>
      <c r="P633" t="str" cm="1">
        <f t="array" ref="P633">_xlfn.IFS(Hospital_Patient[[#This Row],[Age]]&lt;=18,"Young",Hospital_Patient[[#This Row],[Age]]&lt;=36,"Adult",Hospital_Patient[[#This Row],[Age]]&lt;=60,"Middle Age",Hospital_Patient[[#This Row],[Age]]&gt;60,"Senior")</f>
        <v>Senior</v>
      </c>
      <c r="Q633" t="str" cm="1">
        <f t="array" ref="Q6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33">
        <f>YEAR(Hospital_Patient[[#This Row],[Discharge_Date]])</f>
        <v>2023</v>
      </c>
    </row>
    <row r="634" spans="1:18" x14ac:dyDescent="0.25">
      <c r="A634">
        <v>916</v>
      </c>
      <c r="B634">
        <v>48</v>
      </c>
      <c r="C634" t="s">
        <v>15</v>
      </c>
      <c r="D634" t="s">
        <v>16</v>
      </c>
      <c r="E634" t="s">
        <v>17</v>
      </c>
      <c r="F634" s="5">
        <v>45039</v>
      </c>
      <c r="G634" s="5">
        <v>45106</v>
      </c>
      <c r="H634" t="s">
        <v>18</v>
      </c>
      <c r="I634">
        <v>2023</v>
      </c>
      <c r="J634">
        <v>67</v>
      </c>
      <c r="K634" t="s">
        <v>21</v>
      </c>
      <c r="L634" t="s">
        <v>20</v>
      </c>
      <c r="M634">
        <v>4</v>
      </c>
      <c r="N634" t="s">
        <v>21</v>
      </c>
      <c r="O634">
        <v>15000</v>
      </c>
      <c r="P634" t="str" cm="1">
        <f t="array" ref="P634">_xlfn.IFS(Hospital_Patient[[#This Row],[Age]]&lt;=18,"Young",Hospital_Patient[[#This Row],[Age]]&lt;=36,"Adult",Hospital_Patient[[#This Row],[Age]]&lt;=60,"Middle Age",Hospital_Patient[[#This Row],[Age]]&gt;60,"Senior")</f>
        <v>Middle Age</v>
      </c>
      <c r="Q634" t="str" cm="1">
        <f t="array" ref="Q6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34">
        <f>YEAR(Hospital_Patient[[#This Row],[Discharge_Date]])</f>
        <v>2023</v>
      </c>
    </row>
    <row r="635" spans="1:18" x14ac:dyDescent="0.25">
      <c r="A635">
        <v>728</v>
      </c>
      <c r="B635">
        <v>53</v>
      </c>
      <c r="C635" t="s">
        <v>15</v>
      </c>
      <c r="D635" t="s">
        <v>33</v>
      </c>
      <c r="E635" t="s">
        <v>34</v>
      </c>
      <c r="F635" s="5">
        <v>45045</v>
      </c>
      <c r="G635" s="5">
        <v>45104</v>
      </c>
      <c r="H635" t="s">
        <v>67</v>
      </c>
      <c r="I635">
        <v>2023</v>
      </c>
      <c r="J635">
        <v>59</v>
      </c>
      <c r="K635" t="s">
        <v>21</v>
      </c>
      <c r="L635" t="s">
        <v>20</v>
      </c>
      <c r="M635">
        <v>4</v>
      </c>
      <c r="N635" t="s">
        <v>21</v>
      </c>
      <c r="O635">
        <v>25000</v>
      </c>
      <c r="P635" t="str" cm="1">
        <f t="array" ref="P635">_xlfn.IFS(Hospital_Patient[[#This Row],[Age]]&lt;=18,"Young",Hospital_Patient[[#This Row],[Age]]&lt;=36,"Adult",Hospital_Patient[[#This Row],[Age]]&lt;=60,"Middle Age",Hospital_Patient[[#This Row],[Age]]&gt;60,"Senior")</f>
        <v>Middle Age</v>
      </c>
      <c r="Q635" t="str" cm="1">
        <f t="array" ref="Q6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35">
        <f>YEAR(Hospital_Patient[[#This Row],[Discharge_Date]])</f>
        <v>2023</v>
      </c>
    </row>
    <row r="636" spans="1:18" x14ac:dyDescent="0.25">
      <c r="A636">
        <v>203</v>
      </c>
      <c r="B636">
        <v>52</v>
      </c>
      <c r="C636" t="s">
        <v>15</v>
      </c>
      <c r="D636" t="s">
        <v>49</v>
      </c>
      <c r="E636" t="s">
        <v>50</v>
      </c>
      <c r="F636" s="5">
        <v>45088</v>
      </c>
      <c r="G636" s="5">
        <v>45103</v>
      </c>
      <c r="H636" t="s">
        <v>51</v>
      </c>
      <c r="I636">
        <v>2023</v>
      </c>
      <c r="J636">
        <v>15</v>
      </c>
      <c r="K636" t="s">
        <v>19</v>
      </c>
      <c r="L636" t="s">
        <v>26</v>
      </c>
      <c r="M636">
        <v>4</v>
      </c>
      <c r="N636" t="s">
        <v>19</v>
      </c>
      <c r="O636">
        <v>800</v>
      </c>
      <c r="P636" t="str" cm="1">
        <f t="array" ref="P636">_xlfn.IFS(Hospital_Patient[[#This Row],[Age]]&lt;=18,"Young",Hospital_Patient[[#This Row],[Age]]&lt;=36,"Adult",Hospital_Patient[[#This Row],[Age]]&lt;=60,"Middle Age",Hospital_Patient[[#This Row],[Age]]&gt;60,"Senior")</f>
        <v>Middle Age</v>
      </c>
      <c r="Q636" t="str" cm="1">
        <f t="array" ref="Q6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36">
        <f>YEAR(Hospital_Patient[[#This Row],[Discharge_Date]])</f>
        <v>2023</v>
      </c>
    </row>
    <row r="637" spans="1:18" x14ac:dyDescent="0.25">
      <c r="A637">
        <v>413</v>
      </c>
      <c r="B637">
        <v>60</v>
      </c>
      <c r="C637" t="s">
        <v>15</v>
      </c>
      <c r="D637" t="s">
        <v>59</v>
      </c>
      <c r="E637" t="s">
        <v>60</v>
      </c>
      <c r="F637" s="5">
        <v>45069</v>
      </c>
      <c r="G637" s="5">
        <v>45101</v>
      </c>
      <c r="H637" t="s">
        <v>61</v>
      </c>
      <c r="I637">
        <v>2023</v>
      </c>
      <c r="J637">
        <v>32</v>
      </c>
      <c r="K637" t="s">
        <v>19</v>
      </c>
      <c r="L637" t="s">
        <v>26</v>
      </c>
      <c r="M637">
        <v>4</v>
      </c>
      <c r="N637" t="s">
        <v>19</v>
      </c>
      <c r="O637">
        <v>4000</v>
      </c>
      <c r="P637" t="str" cm="1">
        <f t="array" ref="P637">_xlfn.IFS(Hospital_Patient[[#This Row],[Age]]&lt;=18,"Young",Hospital_Patient[[#This Row],[Age]]&lt;=36,"Adult",Hospital_Patient[[#This Row],[Age]]&lt;=60,"Middle Age",Hospital_Patient[[#This Row],[Age]]&gt;60,"Senior")</f>
        <v>Middle Age</v>
      </c>
      <c r="Q637" t="str" cm="1">
        <f t="array" ref="Q6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37">
        <f>YEAR(Hospital_Patient[[#This Row],[Discharge_Date]])</f>
        <v>2023</v>
      </c>
    </row>
    <row r="638" spans="1:18" hidden="1" x14ac:dyDescent="0.25">
      <c r="A638">
        <v>29</v>
      </c>
      <c r="B638">
        <v>50</v>
      </c>
      <c r="C638" t="s">
        <v>22</v>
      </c>
      <c r="D638" t="s">
        <v>57</v>
      </c>
      <c r="E638" t="s">
        <v>58</v>
      </c>
      <c r="F638" s="5">
        <v>45095</v>
      </c>
      <c r="G638" s="5">
        <v>45100</v>
      </c>
      <c r="H638" t="s">
        <v>69</v>
      </c>
      <c r="I638">
        <v>2023</v>
      </c>
      <c r="J638">
        <v>5</v>
      </c>
      <c r="K638" t="s">
        <v>19</v>
      </c>
      <c r="L638" t="s">
        <v>20</v>
      </c>
      <c r="M638">
        <v>3</v>
      </c>
      <c r="N638" t="s">
        <v>21</v>
      </c>
      <c r="O638">
        <v>6000</v>
      </c>
      <c r="P638" t="str" cm="1">
        <f t="array" ref="P638">_xlfn.IFS(Hospital_Patient[[#This Row],[Age]]&lt;=18,"Young",Hospital_Patient[[#This Row],[Age]]&lt;=36,"Adult",Hospital_Patient[[#This Row],[Age]]&lt;=60,"Middle Age",Hospital_Patient[[#This Row],[Age]]&gt;60,"Senior")</f>
        <v>Middle Age</v>
      </c>
      <c r="Q638" t="str" cm="1">
        <f t="array" ref="Q6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38">
        <f>YEAR(Hospital_Patient[[#This Row],[Discharge_Date]])</f>
        <v>2023</v>
      </c>
    </row>
    <row r="639" spans="1:18" hidden="1" x14ac:dyDescent="0.25">
      <c r="A639">
        <v>175</v>
      </c>
      <c r="B639">
        <v>67</v>
      </c>
      <c r="C639" t="s">
        <v>22</v>
      </c>
      <c r="D639" t="s">
        <v>52</v>
      </c>
      <c r="E639" t="s">
        <v>53</v>
      </c>
      <c r="F639" s="5">
        <v>45076</v>
      </c>
      <c r="G639" s="5">
        <v>45096</v>
      </c>
      <c r="H639" t="s">
        <v>67</v>
      </c>
      <c r="I639">
        <v>2023</v>
      </c>
      <c r="J639">
        <v>20</v>
      </c>
      <c r="K639" t="s">
        <v>19</v>
      </c>
      <c r="L639" t="s">
        <v>20</v>
      </c>
      <c r="M639">
        <v>3</v>
      </c>
      <c r="N639" t="s">
        <v>19</v>
      </c>
      <c r="O639">
        <v>20000</v>
      </c>
      <c r="P639" t="str" cm="1">
        <f t="array" ref="P639">_xlfn.IFS(Hospital_Patient[[#This Row],[Age]]&lt;=18,"Young",Hospital_Patient[[#This Row],[Age]]&lt;=36,"Adult",Hospital_Patient[[#This Row],[Age]]&lt;=60,"Middle Age",Hospital_Patient[[#This Row],[Age]]&gt;60,"Senior")</f>
        <v>Senior</v>
      </c>
      <c r="Q639" t="str" cm="1">
        <f t="array" ref="Q6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39">
        <f>YEAR(Hospital_Patient[[#This Row],[Discharge_Date]])</f>
        <v>2023</v>
      </c>
    </row>
    <row r="640" spans="1:18" hidden="1" x14ac:dyDescent="0.25">
      <c r="A640">
        <v>899</v>
      </c>
      <c r="B640">
        <v>55</v>
      </c>
      <c r="C640" t="s">
        <v>22</v>
      </c>
      <c r="D640" t="s">
        <v>57</v>
      </c>
      <c r="E640" t="s">
        <v>58</v>
      </c>
      <c r="F640" s="5">
        <v>45029</v>
      </c>
      <c r="G640" s="5">
        <v>45093</v>
      </c>
      <c r="H640" t="s">
        <v>44</v>
      </c>
      <c r="I640">
        <v>2023</v>
      </c>
      <c r="J640">
        <v>64</v>
      </c>
      <c r="K640" t="s">
        <v>19</v>
      </c>
      <c r="L640" t="s">
        <v>20</v>
      </c>
      <c r="M640">
        <v>3</v>
      </c>
      <c r="N640" t="s">
        <v>19</v>
      </c>
      <c r="O640">
        <v>6000</v>
      </c>
      <c r="P640" t="str" cm="1">
        <f t="array" ref="P640">_xlfn.IFS(Hospital_Patient[[#This Row],[Age]]&lt;=18,"Young",Hospital_Patient[[#This Row],[Age]]&lt;=36,"Adult",Hospital_Patient[[#This Row],[Age]]&lt;=60,"Middle Age",Hospital_Patient[[#This Row],[Age]]&gt;60,"Senior")</f>
        <v>Middle Age</v>
      </c>
      <c r="Q640" t="str" cm="1">
        <f t="array" ref="Q6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40">
        <f>YEAR(Hospital_Patient[[#This Row],[Discharge_Date]])</f>
        <v>2023</v>
      </c>
    </row>
    <row r="641" spans="1:18" hidden="1" x14ac:dyDescent="0.25">
      <c r="A641">
        <v>268</v>
      </c>
      <c r="B641">
        <v>65</v>
      </c>
      <c r="C641" t="s">
        <v>22</v>
      </c>
      <c r="D641" t="s">
        <v>23</v>
      </c>
      <c r="E641" t="s">
        <v>24</v>
      </c>
      <c r="F641" s="5">
        <v>45068</v>
      </c>
      <c r="G641" s="5">
        <v>45089</v>
      </c>
      <c r="H641" t="s">
        <v>72</v>
      </c>
      <c r="I641">
        <v>2023</v>
      </c>
      <c r="J641">
        <v>21</v>
      </c>
      <c r="K641" t="s">
        <v>19</v>
      </c>
      <c r="L641" t="s">
        <v>26</v>
      </c>
      <c r="M641">
        <v>3</v>
      </c>
      <c r="N641" t="s">
        <v>21</v>
      </c>
      <c r="O641">
        <v>2000</v>
      </c>
      <c r="P641" t="str" cm="1">
        <f t="array" ref="P641">_xlfn.IFS(Hospital_Patient[[#This Row],[Age]]&lt;=18,"Young",Hospital_Patient[[#This Row],[Age]]&lt;=36,"Adult",Hospital_Patient[[#This Row],[Age]]&lt;=60,"Middle Age",Hospital_Patient[[#This Row],[Age]]&gt;60,"Senior")</f>
        <v>Senior</v>
      </c>
      <c r="Q641" t="str" cm="1">
        <f t="array" ref="Q6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41">
        <f>YEAR(Hospital_Patient[[#This Row],[Discharge_Date]])</f>
        <v>2023</v>
      </c>
    </row>
    <row r="642" spans="1:18" x14ac:dyDescent="0.25">
      <c r="A642">
        <v>526</v>
      </c>
      <c r="B642">
        <v>75</v>
      </c>
      <c r="C642" t="s">
        <v>15</v>
      </c>
      <c r="D642" t="s">
        <v>45</v>
      </c>
      <c r="E642" t="s">
        <v>46</v>
      </c>
      <c r="F642" s="5">
        <v>45045</v>
      </c>
      <c r="G642" s="5">
        <v>45088</v>
      </c>
      <c r="H642" t="s">
        <v>65</v>
      </c>
      <c r="I642">
        <v>2023</v>
      </c>
      <c r="J642">
        <v>43</v>
      </c>
      <c r="K642" t="s">
        <v>21</v>
      </c>
      <c r="L642" t="s">
        <v>26</v>
      </c>
      <c r="M642">
        <v>2</v>
      </c>
      <c r="N642" t="s">
        <v>19</v>
      </c>
      <c r="O642">
        <v>18000</v>
      </c>
      <c r="P642" t="str" cm="1">
        <f t="array" ref="P642">_xlfn.IFS(Hospital_Patient[[#This Row],[Age]]&lt;=18,"Young",Hospital_Patient[[#This Row],[Age]]&lt;=36,"Adult",Hospital_Patient[[#This Row],[Age]]&lt;=60,"Middle Age",Hospital_Patient[[#This Row],[Age]]&gt;60,"Senior")</f>
        <v>Senior</v>
      </c>
      <c r="Q642" t="str" cm="1">
        <f t="array" ref="Q6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2">
        <f>YEAR(Hospital_Patient[[#This Row],[Discharge_Date]])</f>
        <v>2023</v>
      </c>
    </row>
    <row r="643" spans="1:18" x14ac:dyDescent="0.25">
      <c r="A643">
        <v>857</v>
      </c>
      <c r="B643">
        <v>48</v>
      </c>
      <c r="C643" t="s">
        <v>15</v>
      </c>
      <c r="D643" t="s">
        <v>16</v>
      </c>
      <c r="E643" t="s">
        <v>17</v>
      </c>
      <c r="F643" s="5">
        <v>45024</v>
      </c>
      <c r="G643" s="5">
        <v>45087</v>
      </c>
      <c r="H643" t="s">
        <v>69</v>
      </c>
      <c r="I643">
        <v>2023</v>
      </c>
      <c r="J643">
        <v>63</v>
      </c>
      <c r="K643" t="s">
        <v>21</v>
      </c>
      <c r="L643" t="s">
        <v>20</v>
      </c>
      <c r="M643">
        <v>4</v>
      </c>
      <c r="N643" t="s">
        <v>19</v>
      </c>
      <c r="O643">
        <v>15000</v>
      </c>
      <c r="P643" t="str" cm="1">
        <f t="array" ref="P643">_xlfn.IFS(Hospital_Patient[[#This Row],[Age]]&lt;=18,"Young",Hospital_Patient[[#This Row],[Age]]&lt;=36,"Adult",Hospital_Patient[[#This Row],[Age]]&lt;=60,"Middle Age",Hospital_Patient[[#This Row],[Age]]&gt;60,"Senior")</f>
        <v>Middle Age</v>
      </c>
      <c r="Q643" t="str" cm="1">
        <f t="array" ref="Q6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43">
        <f>YEAR(Hospital_Patient[[#This Row],[Discharge_Date]])</f>
        <v>2023</v>
      </c>
    </row>
    <row r="644" spans="1:18" x14ac:dyDescent="0.25">
      <c r="A644">
        <v>205</v>
      </c>
      <c r="B644">
        <v>35</v>
      </c>
      <c r="C644" t="s">
        <v>15</v>
      </c>
      <c r="D644" t="s">
        <v>54</v>
      </c>
      <c r="E644" t="s">
        <v>55</v>
      </c>
      <c r="F644" s="5">
        <v>45069</v>
      </c>
      <c r="G644" s="5">
        <v>45085</v>
      </c>
      <c r="H644" t="s">
        <v>56</v>
      </c>
      <c r="I644">
        <v>2023</v>
      </c>
      <c r="J644">
        <v>16</v>
      </c>
      <c r="K644" t="s">
        <v>19</v>
      </c>
      <c r="L644" t="s">
        <v>20</v>
      </c>
      <c r="M644">
        <v>4</v>
      </c>
      <c r="N644" t="s">
        <v>21</v>
      </c>
      <c r="O644">
        <v>12000</v>
      </c>
      <c r="P644" t="str" cm="1">
        <f t="array" ref="P644">_xlfn.IFS(Hospital_Patient[[#This Row],[Age]]&lt;=18,"Young",Hospital_Patient[[#This Row],[Age]]&lt;=36,"Adult",Hospital_Patient[[#This Row],[Age]]&lt;=60,"Middle Age",Hospital_Patient[[#This Row],[Age]]&gt;60,"Senior")</f>
        <v>Adult</v>
      </c>
      <c r="Q644" t="str" cm="1">
        <f t="array" ref="Q6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44">
        <f>YEAR(Hospital_Patient[[#This Row],[Discharge_Date]])</f>
        <v>2023</v>
      </c>
    </row>
    <row r="645" spans="1:18" x14ac:dyDescent="0.25">
      <c r="A645">
        <v>418</v>
      </c>
      <c r="B645">
        <v>55</v>
      </c>
      <c r="C645" t="s">
        <v>15</v>
      </c>
      <c r="D645" t="s">
        <v>33</v>
      </c>
      <c r="E645" t="s">
        <v>34</v>
      </c>
      <c r="F645" s="5">
        <v>45047</v>
      </c>
      <c r="G645" s="5">
        <v>45085</v>
      </c>
      <c r="H645" t="s">
        <v>67</v>
      </c>
      <c r="I645">
        <v>2023</v>
      </c>
      <c r="J645">
        <v>38</v>
      </c>
      <c r="K645" t="s">
        <v>19</v>
      </c>
      <c r="L645" t="s">
        <v>20</v>
      </c>
      <c r="M645">
        <v>4</v>
      </c>
      <c r="N645" t="s">
        <v>21</v>
      </c>
      <c r="O645">
        <v>25000</v>
      </c>
      <c r="P645" t="str" cm="1">
        <f t="array" ref="P645">_xlfn.IFS(Hospital_Patient[[#This Row],[Age]]&lt;=18,"Young",Hospital_Patient[[#This Row],[Age]]&lt;=36,"Adult",Hospital_Patient[[#This Row],[Age]]&lt;=60,"Middle Age",Hospital_Patient[[#This Row],[Age]]&gt;60,"Senior")</f>
        <v>Middle Age</v>
      </c>
      <c r="Q645" t="str" cm="1">
        <f t="array" ref="Q6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5">
        <f>YEAR(Hospital_Patient[[#This Row],[Discharge_Date]])</f>
        <v>2023</v>
      </c>
    </row>
    <row r="646" spans="1:18" hidden="1" x14ac:dyDescent="0.25">
      <c r="A646">
        <v>533</v>
      </c>
      <c r="B646">
        <v>65</v>
      </c>
      <c r="C646" t="s">
        <v>22</v>
      </c>
      <c r="D646" t="s">
        <v>23</v>
      </c>
      <c r="E646" t="s">
        <v>24</v>
      </c>
      <c r="F646" s="5">
        <v>45046</v>
      </c>
      <c r="G646" s="5">
        <v>45085</v>
      </c>
      <c r="H646" t="s">
        <v>18</v>
      </c>
      <c r="I646">
        <v>2023</v>
      </c>
      <c r="J646">
        <v>39</v>
      </c>
      <c r="K646" t="s">
        <v>19</v>
      </c>
      <c r="L646" t="s">
        <v>26</v>
      </c>
      <c r="M646">
        <v>3</v>
      </c>
      <c r="N646" t="s">
        <v>21</v>
      </c>
      <c r="O646">
        <v>2000</v>
      </c>
      <c r="P646" t="str" cm="1">
        <f t="array" ref="P646">_xlfn.IFS(Hospital_Patient[[#This Row],[Age]]&lt;=18,"Young",Hospital_Patient[[#This Row],[Age]]&lt;=36,"Adult",Hospital_Patient[[#This Row],[Age]]&lt;=60,"Middle Age",Hospital_Patient[[#This Row],[Age]]&gt;60,"Senior")</f>
        <v>Senior</v>
      </c>
      <c r="Q646" t="str" cm="1">
        <f t="array" ref="Q6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6">
        <f>YEAR(Hospital_Patient[[#This Row],[Discharge_Date]])</f>
        <v>2023</v>
      </c>
    </row>
    <row r="647" spans="1:18" x14ac:dyDescent="0.25">
      <c r="A647">
        <v>898</v>
      </c>
      <c r="B647">
        <v>32</v>
      </c>
      <c r="C647" t="s">
        <v>15</v>
      </c>
      <c r="D647" t="s">
        <v>54</v>
      </c>
      <c r="E647" t="s">
        <v>55</v>
      </c>
      <c r="F647" s="5">
        <v>45021</v>
      </c>
      <c r="G647" s="5">
        <v>45084</v>
      </c>
      <c r="H647" t="s">
        <v>68</v>
      </c>
      <c r="I647">
        <v>2023</v>
      </c>
      <c r="J647">
        <v>63</v>
      </c>
      <c r="K647" t="s">
        <v>19</v>
      </c>
      <c r="L647" t="s">
        <v>20</v>
      </c>
      <c r="M647">
        <v>4</v>
      </c>
      <c r="N647" t="s">
        <v>19</v>
      </c>
      <c r="O647">
        <v>12000</v>
      </c>
      <c r="P647" t="str" cm="1">
        <f t="array" ref="P647">_xlfn.IFS(Hospital_Patient[[#This Row],[Age]]&lt;=18,"Young",Hospital_Patient[[#This Row],[Age]]&lt;=36,"Adult",Hospital_Patient[[#This Row],[Age]]&lt;=60,"Middle Age",Hospital_Patient[[#This Row],[Age]]&gt;60,"Senior")</f>
        <v>Adult</v>
      </c>
      <c r="Q647" t="str" cm="1">
        <f t="array" ref="Q6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47">
        <f>YEAR(Hospital_Patient[[#This Row],[Discharge_Date]])</f>
        <v>2023</v>
      </c>
    </row>
    <row r="648" spans="1:18" x14ac:dyDescent="0.25">
      <c r="A648">
        <v>473</v>
      </c>
      <c r="B648">
        <v>48</v>
      </c>
      <c r="C648" t="s">
        <v>15</v>
      </c>
      <c r="D648" t="s">
        <v>16</v>
      </c>
      <c r="E648" t="s">
        <v>17</v>
      </c>
      <c r="F648" s="5">
        <v>45046</v>
      </c>
      <c r="G648" s="5">
        <v>45083</v>
      </c>
      <c r="H648" t="s">
        <v>73</v>
      </c>
      <c r="I648">
        <v>2023</v>
      </c>
      <c r="J648">
        <v>37</v>
      </c>
      <c r="K648" t="s">
        <v>21</v>
      </c>
      <c r="L648" t="s">
        <v>20</v>
      </c>
      <c r="M648">
        <v>4</v>
      </c>
      <c r="N648" t="s">
        <v>21</v>
      </c>
      <c r="O648">
        <v>15000</v>
      </c>
      <c r="P648" t="str" cm="1">
        <f t="array" ref="P648">_xlfn.IFS(Hospital_Patient[[#This Row],[Age]]&lt;=18,"Young",Hospital_Patient[[#This Row],[Age]]&lt;=36,"Adult",Hospital_Patient[[#This Row],[Age]]&lt;=60,"Middle Age",Hospital_Patient[[#This Row],[Age]]&gt;60,"Senior")</f>
        <v>Middle Age</v>
      </c>
      <c r="Q648" t="str" cm="1">
        <f t="array" ref="Q6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8">
        <f>YEAR(Hospital_Patient[[#This Row],[Discharge_Date]])</f>
        <v>2023</v>
      </c>
    </row>
    <row r="649" spans="1:18" hidden="1" x14ac:dyDescent="0.25">
      <c r="A649">
        <v>674</v>
      </c>
      <c r="B649">
        <v>28</v>
      </c>
      <c r="C649" t="s">
        <v>22</v>
      </c>
      <c r="D649" t="s">
        <v>47</v>
      </c>
      <c r="E649" t="s">
        <v>48</v>
      </c>
      <c r="F649" s="5">
        <v>45037</v>
      </c>
      <c r="G649" s="5">
        <v>45083</v>
      </c>
      <c r="H649" t="s">
        <v>74</v>
      </c>
      <c r="I649">
        <v>2023</v>
      </c>
      <c r="J649">
        <v>46</v>
      </c>
      <c r="K649" t="s">
        <v>19</v>
      </c>
      <c r="L649" t="s">
        <v>20</v>
      </c>
      <c r="M649">
        <v>5</v>
      </c>
      <c r="N649" t="s">
        <v>19</v>
      </c>
      <c r="O649">
        <v>100</v>
      </c>
      <c r="P649" t="str" cm="1">
        <f t="array" ref="P649">_xlfn.IFS(Hospital_Patient[[#This Row],[Age]]&lt;=18,"Young",Hospital_Patient[[#This Row],[Age]]&lt;=36,"Adult",Hospital_Patient[[#This Row],[Age]]&lt;=60,"Middle Age",Hospital_Patient[[#This Row],[Age]]&gt;60,"Senior")</f>
        <v>Adult</v>
      </c>
      <c r="Q649" t="str" cm="1">
        <f t="array" ref="Q6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49">
        <f>YEAR(Hospital_Patient[[#This Row],[Discharge_Date]])</f>
        <v>2023</v>
      </c>
    </row>
    <row r="650" spans="1:18" hidden="1" x14ac:dyDescent="0.25">
      <c r="A650">
        <v>63</v>
      </c>
      <c r="B650">
        <v>70</v>
      </c>
      <c r="C650" t="s">
        <v>22</v>
      </c>
      <c r="D650" t="s">
        <v>30</v>
      </c>
      <c r="E650" t="s">
        <v>31</v>
      </c>
      <c r="F650" s="5">
        <v>45071</v>
      </c>
      <c r="G650" s="5">
        <v>45082</v>
      </c>
      <c r="H650" t="s">
        <v>35</v>
      </c>
      <c r="I650">
        <v>2023</v>
      </c>
      <c r="J650">
        <v>11</v>
      </c>
      <c r="K650" t="s">
        <v>21</v>
      </c>
      <c r="L650" t="s">
        <v>26</v>
      </c>
      <c r="M650">
        <v>2</v>
      </c>
      <c r="N650" t="s">
        <v>19</v>
      </c>
      <c r="O650">
        <v>10000</v>
      </c>
      <c r="P650" t="str" cm="1">
        <f t="array" ref="P650">_xlfn.IFS(Hospital_Patient[[#This Row],[Age]]&lt;=18,"Young",Hospital_Patient[[#This Row],[Age]]&lt;=36,"Adult",Hospital_Patient[[#This Row],[Age]]&lt;=60,"Middle Age",Hospital_Patient[[#This Row],[Age]]&gt;60,"Senior")</f>
        <v>Senior</v>
      </c>
      <c r="Q650" t="str" cm="1">
        <f t="array" ref="Q6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50">
        <f>YEAR(Hospital_Patient[[#This Row],[Discharge_Date]])</f>
        <v>2023</v>
      </c>
    </row>
    <row r="651" spans="1:18" hidden="1" x14ac:dyDescent="0.25">
      <c r="A651">
        <v>565</v>
      </c>
      <c r="B651">
        <v>70</v>
      </c>
      <c r="C651" t="s">
        <v>22</v>
      </c>
      <c r="D651" t="s">
        <v>30</v>
      </c>
      <c r="E651" t="s">
        <v>31</v>
      </c>
      <c r="F651" s="5">
        <v>45036</v>
      </c>
      <c r="G651" s="5">
        <v>45082</v>
      </c>
      <c r="H651" t="s">
        <v>63</v>
      </c>
      <c r="I651">
        <v>2023</v>
      </c>
      <c r="J651">
        <v>46</v>
      </c>
      <c r="K651" t="s">
        <v>21</v>
      </c>
      <c r="L651" t="s">
        <v>26</v>
      </c>
      <c r="M651">
        <v>2</v>
      </c>
      <c r="N651" t="s">
        <v>21</v>
      </c>
      <c r="O651">
        <v>10000</v>
      </c>
      <c r="P651" t="str" cm="1">
        <f t="array" ref="P651">_xlfn.IFS(Hospital_Patient[[#This Row],[Age]]&lt;=18,"Young",Hospital_Patient[[#This Row],[Age]]&lt;=36,"Adult",Hospital_Patient[[#This Row],[Age]]&lt;=60,"Middle Age",Hospital_Patient[[#This Row],[Age]]&gt;60,"Senior")</f>
        <v>Senior</v>
      </c>
      <c r="Q651" t="str" cm="1">
        <f t="array" ref="Q6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1">
        <f>YEAR(Hospital_Patient[[#This Row],[Discharge_Date]])</f>
        <v>2023</v>
      </c>
    </row>
    <row r="652" spans="1:18" x14ac:dyDescent="0.25">
      <c r="A652">
        <v>665</v>
      </c>
      <c r="B652">
        <v>55</v>
      </c>
      <c r="C652" t="s">
        <v>15</v>
      </c>
      <c r="D652" t="s">
        <v>16</v>
      </c>
      <c r="E652" t="s">
        <v>17</v>
      </c>
      <c r="F652" s="5">
        <v>45030</v>
      </c>
      <c r="G652" s="5">
        <v>45080</v>
      </c>
      <c r="H652" t="s">
        <v>69</v>
      </c>
      <c r="I652">
        <v>2023</v>
      </c>
      <c r="J652">
        <v>50</v>
      </c>
      <c r="K652" t="s">
        <v>21</v>
      </c>
      <c r="L652" t="s">
        <v>20</v>
      </c>
      <c r="M652">
        <v>3</v>
      </c>
      <c r="N652" t="s">
        <v>21</v>
      </c>
      <c r="O652">
        <v>15000</v>
      </c>
      <c r="P652" t="str" cm="1">
        <f t="array" ref="P652">_xlfn.IFS(Hospital_Patient[[#This Row],[Age]]&lt;=18,"Young",Hospital_Patient[[#This Row],[Age]]&lt;=36,"Adult",Hospital_Patient[[#This Row],[Age]]&lt;=60,"Middle Age",Hospital_Patient[[#This Row],[Age]]&gt;60,"Senior")</f>
        <v>Middle Age</v>
      </c>
      <c r="Q652" t="str" cm="1">
        <f t="array" ref="Q6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2">
        <f>YEAR(Hospital_Patient[[#This Row],[Discharge_Date]])</f>
        <v>2023</v>
      </c>
    </row>
    <row r="653" spans="1:18" x14ac:dyDescent="0.25">
      <c r="A653">
        <v>222</v>
      </c>
      <c r="B653">
        <v>65</v>
      </c>
      <c r="C653" t="s">
        <v>15</v>
      </c>
      <c r="D653" t="s">
        <v>59</v>
      </c>
      <c r="E653" t="s">
        <v>60</v>
      </c>
      <c r="F653" s="5">
        <v>45060</v>
      </c>
      <c r="G653" s="5">
        <v>45079</v>
      </c>
      <c r="H653" t="s">
        <v>61</v>
      </c>
      <c r="I653">
        <v>2023</v>
      </c>
      <c r="J653">
        <v>19</v>
      </c>
      <c r="K653" t="s">
        <v>19</v>
      </c>
      <c r="L653" t="s">
        <v>26</v>
      </c>
      <c r="M653">
        <v>4</v>
      </c>
      <c r="N653" t="s">
        <v>19</v>
      </c>
      <c r="O653">
        <v>4000</v>
      </c>
      <c r="P653" t="str" cm="1">
        <f t="array" ref="P653">_xlfn.IFS(Hospital_Patient[[#This Row],[Age]]&lt;=18,"Young",Hospital_Patient[[#This Row],[Age]]&lt;=36,"Adult",Hospital_Patient[[#This Row],[Age]]&lt;=60,"Middle Age",Hospital_Patient[[#This Row],[Age]]&gt;60,"Senior")</f>
        <v>Senior</v>
      </c>
      <c r="Q653" t="str" cm="1">
        <f t="array" ref="Q6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53">
        <f>YEAR(Hospital_Patient[[#This Row],[Discharge_Date]])</f>
        <v>2023</v>
      </c>
    </row>
    <row r="654" spans="1:18" hidden="1" x14ac:dyDescent="0.25">
      <c r="A654">
        <v>508</v>
      </c>
      <c r="B654">
        <v>68</v>
      </c>
      <c r="C654" t="s">
        <v>22</v>
      </c>
      <c r="D654" t="s">
        <v>36</v>
      </c>
      <c r="E654" t="s">
        <v>37</v>
      </c>
      <c r="F654" s="5">
        <v>45042</v>
      </c>
      <c r="G654" s="5">
        <v>45078</v>
      </c>
      <c r="H654" t="s">
        <v>38</v>
      </c>
      <c r="I654">
        <v>2023</v>
      </c>
      <c r="J654">
        <v>36</v>
      </c>
      <c r="K654" t="s">
        <v>19</v>
      </c>
      <c r="L654" t="s">
        <v>26</v>
      </c>
      <c r="M654">
        <v>4</v>
      </c>
      <c r="N654" t="s">
        <v>19</v>
      </c>
      <c r="O654">
        <v>1000</v>
      </c>
      <c r="P654" t="str" cm="1">
        <f t="array" ref="P654">_xlfn.IFS(Hospital_Patient[[#This Row],[Age]]&lt;=18,"Young",Hospital_Patient[[#This Row],[Age]]&lt;=36,"Adult",Hospital_Patient[[#This Row],[Age]]&lt;=60,"Middle Age",Hospital_Patient[[#This Row],[Age]]&gt;60,"Senior")</f>
        <v>Senior</v>
      </c>
      <c r="Q654" t="str" cm="1">
        <f t="array" ref="Q6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4">
        <f>YEAR(Hospital_Patient[[#This Row],[Discharge_Date]])</f>
        <v>2023</v>
      </c>
    </row>
    <row r="655" spans="1:18" x14ac:dyDescent="0.25">
      <c r="A655">
        <v>266</v>
      </c>
      <c r="B655">
        <v>60</v>
      </c>
      <c r="C655" t="s">
        <v>15</v>
      </c>
      <c r="D655" t="s">
        <v>59</v>
      </c>
      <c r="E655" t="s">
        <v>60</v>
      </c>
      <c r="F655" s="5">
        <v>45055</v>
      </c>
      <c r="G655" s="5">
        <v>45077</v>
      </c>
      <c r="H655" t="s">
        <v>61</v>
      </c>
      <c r="I655">
        <v>2023</v>
      </c>
      <c r="J655">
        <v>22</v>
      </c>
      <c r="K655" t="s">
        <v>19</v>
      </c>
      <c r="L655" t="s">
        <v>26</v>
      </c>
      <c r="M655">
        <v>4</v>
      </c>
      <c r="N655" t="s">
        <v>21</v>
      </c>
      <c r="O655">
        <v>4000</v>
      </c>
      <c r="P655" t="str" cm="1">
        <f t="array" ref="P655">_xlfn.IFS(Hospital_Patient[[#This Row],[Age]]&lt;=18,"Young",Hospital_Patient[[#This Row],[Age]]&lt;=36,"Adult",Hospital_Patient[[#This Row],[Age]]&lt;=60,"Middle Age",Hospital_Patient[[#This Row],[Age]]&gt;60,"Senior")</f>
        <v>Middle Age</v>
      </c>
      <c r="Q655" t="str" cm="1">
        <f t="array" ref="Q6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55">
        <f>YEAR(Hospital_Patient[[#This Row],[Discharge_Date]])</f>
        <v>2023</v>
      </c>
    </row>
    <row r="656" spans="1:18" x14ac:dyDescent="0.25">
      <c r="A656">
        <v>439</v>
      </c>
      <c r="B656">
        <v>52</v>
      </c>
      <c r="C656" t="s">
        <v>15</v>
      </c>
      <c r="D656" t="s">
        <v>49</v>
      </c>
      <c r="E656" t="s">
        <v>50</v>
      </c>
      <c r="F656" s="5">
        <v>45044</v>
      </c>
      <c r="G656" s="5">
        <v>45075</v>
      </c>
      <c r="H656" t="s">
        <v>64</v>
      </c>
      <c r="I656">
        <v>2023</v>
      </c>
      <c r="J656">
        <v>31</v>
      </c>
      <c r="K656" t="s">
        <v>19</v>
      </c>
      <c r="L656" t="s">
        <v>26</v>
      </c>
      <c r="M656">
        <v>4</v>
      </c>
      <c r="N656" t="s">
        <v>19</v>
      </c>
      <c r="O656">
        <v>800</v>
      </c>
      <c r="P656" t="str" cm="1">
        <f t="array" ref="P656">_xlfn.IFS(Hospital_Patient[[#This Row],[Age]]&lt;=18,"Young",Hospital_Patient[[#This Row],[Age]]&lt;=36,"Adult",Hospital_Patient[[#This Row],[Age]]&lt;=60,"Middle Age",Hospital_Patient[[#This Row],[Age]]&gt;60,"Senior")</f>
        <v>Middle Age</v>
      </c>
      <c r="Q656" t="str" cm="1">
        <f t="array" ref="Q6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6">
        <f>YEAR(Hospital_Patient[[#This Row],[Discharge_Date]])</f>
        <v>2023</v>
      </c>
    </row>
    <row r="657" spans="1:18" hidden="1" x14ac:dyDescent="0.25">
      <c r="A657">
        <v>280</v>
      </c>
      <c r="B657">
        <v>55</v>
      </c>
      <c r="C657" t="s">
        <v>22</v>
      </c>
      <c r="D657" t="s">
        <v>57</v>
      </c>
      <c r="E657" t="s">
        <v>58</v>
      </c>
      <c r="F657" s="5">
        <v>45052</v>
      </c>
      <c r="G657" s="5">
        <v>45074</v>
      </c>
      <c r="H657" t="s">
        <v>51</v>
      </c>
      <c r="I657">
        <v>2023</v>
      </c>
      <c r="J657">
        <v>22</v>
      </c>
      <c r="K657" t="s">
        <v>19</v>
      </c>
      <c r="L657" t="s">
        <v>20</v>
      </c>
      <c r="M657">
        <v>3</v>
      </c>
      <c r="N657" t="s">
        <v>19</v>
      </c>
      <c r="O657">
        <v>6000</v>
      </c>
      <c r="P657" t="str" cm="1">
        <f t="array" ref="P657">_xlfn.IFS(Hospital_Patient[[#This Row],[Age]]&lt;=18,"Young",Hospital_Patient[[#This Row],[Age]]&lt;=36,"Adult",Hospital_Patient[[#This Row],[Age]]&lt;=60,"Middle Age",Hospital_Patient[[#This Row],[Age]]&gt;60,"Senior")</f>
        <v>Middle Age</v>
      </c>
      <c r="Q657" t="str" cm="1">
        <f t="array" ref="Q6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57">
        <f>YEAR(Hospital_Patient[[#This Row],[Discharge_Date]])</f>
        <v>2023</v>
      </c>
    </row>
    <row r="658" spans="1:18" x14ac:dyDescent="0.25">
      <c r="A658">
        <v>635</v>
      </c>
      <c r="B658">
        <v>65</v>
      </c>
      <c r="C658" t="s">
        <v>15</v>
      </c>
      <c r="D658" t="s">
        <v>59</v>
      </c>
      <c r="E658" t="s">
        <v>60</v>
      </c>
      <c r="F658" s="5">
        <v>45027</v>
      </c>
      <c r="G658" s="5">
        <v>45074</v>
      </c>
      <c r="H658" t="s">
        <v>73</v>
      </c>
      <c r="I658">
        <v>2023</v>
      </c>
      <c r="J658">
        <v>47</v>
      </c>
      <c r="K658" t="s">
        <v>19</v>
      </c>
      <c r="L658" t="s">
        <v>26</v>
      </c>
      <c r="M658">
        <v>4</v>
      </c>
      <c r="N658" t="s">
        <v>19</v>
      </c>
      <c r="O658">
        <v>4000</v>
      </c>
      <c r="P658" t="str" cm="1">
        <f t="array" ref="P658">_xlfn.IFS(Hospital_Patient[[#This Row],[Age]]&lt;=18,"Young",Hospital_Patient[[#This Row],[Age]]&lt;=36,"Adult",Hospital_Patient[[#This Row],[Age]]&lt;=60,"Middle Age",Hospital_Patient[[#This Row],[Age]]&gt;60,"Senior")</f>
        <v>Senior</v>
      </c>
      <c r="Q658" t="str" cm="1">
        <f t="array" ref="Q6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58">
        <f>YEAR(Hospital_Patient[[#This Row],[Discharge_Date]])</f>
        <v>2023</v>
      </c>
    </row>
    <row r="659" spans="1:18" x14ac:dyDescent="0.25">
      <c r="A659">
        <v>306</v>
      </c>
      <c r="B659">
        <v>52</v>
      </c>
      <c r="C659" t="s">
        <v>15</v>
      </c>
      <c r="D659" t="s">
        <v>49</v>
      </c>
      <c r="E659" t="s">
        <v>50</v>
      </c>
      <c r="F659" s="5">
        <v>45051</v>
      </c>
      <c r="G659" s="5">
        <v>45073</v>
      </c>
      <c r="H659" t="s">
        <v>66</v>
      </c>
      <c r="I659">
        <v>2023</v>
      </c>
      <c r="J659">
        <v>22</v>
      </c>
      <c r="K659" t="s">
        <v>19</v>
      </c>
      <c r="L659" t="s">
        <v>26</v>
      </c>
      <c r="M659">
        <v>4</v>
      </c>
      <c r="N659" t="s">
        <v>19</v>
      </c>
      <c r="O659">
        <v>800</v>
      </c>
      <c r="P659" t="str" cm="1">
        <f t="array" ref="P659">_xlfn.IFS(Hospital_Patient[[#This Row],[Age]]&lt;=18,"Young",Hospital_Patient[[#This Row],[Age]]&lt;=36,"Adult",Hospital_Patient[[#This Row],[Age]]&lt;=60,"Middle Age",Hospital_Patient[[#This Row],[Age]]&gt;60,"Senior")</f>
        <v>Middle Age</v>
      </c>
      <c r="Q659" t="str" cm="1">
        <f t="array" ref="Q6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59">
        <f>YEAR(Hospital_Patient[[#This Row],[Discharge_Date]])</f>
        <v>2023</v>
      </c>
    </row>
    <row r="660" spans="1:18" hidden="1" x14ac:dyDescent="0.25">
      <c r="A660">
        <v>820</v>
      </c>
      <c r="B660">
        <v>45</v>
      </c>
      <c r="C660" t="s">
        <v>22</v>
      </c>
      <c r="D660" t="s">
        <v>42</v>
      </c>
      <c r="E660" t="s">
        <v>43</v>
      </c>
      <c r="F660" s="5">
        <v>45011</v>
      </c>
      <c r="G660" s="5">
        <v>45072</v>
      </c>
      <c r="H660" t="s">
        <v>44</v>
      </c>
      <c r="I660">
        <v>2023</v>
      </c>
      <c r="J660">
        <v>61</v>
      </c>
      <c r="K660" t="s">
        <v>19</v>
      </c>
      <c r="L660" t="s">
        <v>20</v>
      </c>
      <c r="M660">
        <v>4</v>
      </c>
      <c r="N660" t="s">
        <v>21</v>
      </c>
      <c r="O660">
        <v>3000</v>
      </c>
      <c r="P660" t="str" cm="1">
        <f t="array" ref="P660">_xlfn.IFS(Hospital_Patient[[#This Row],[Age]]&lt;=18,"Young",Hospital_Patient[[#This Row],[Age]]&lt;=36,"Adult",Hospital_Patient[[#This Row],[Age]]&lt;=60,"Middle Age",Hospital_Patient[[#This Row],[Age]]&gt;60,"Senior")</f>
        <v>Middle Age</v>
      </c>
      <c r="Q660" t="str" cm="1">
        <f t="array" ref="Q6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60">
        <f>YEAR(Hospital_Patient[[#This Row],[Discharge_Date]])</f>
        <v>2023</v>
      </c>
    </row>
    <row r="661" spans="1:18" hidden="1" x14ac:dyDescent="0.25">
      <c r="A661">
        <v>381</v>
      </c>
      <c r="B661">
        <v>67</v>
      </c>
      <c r="C661" t="s">
        <v>22</v>
      </c>
      <c r="D661" t="s">
        <v>52</v>
      </c>
      <c r="E661" t="s">
        <v>53</v>
      </c>
      <c r="F661" s="5">
        <v>45033</v>
      </c>
      <c r="G661" s="5">
        <v>45067</v>
      </c>
      <c r="H661" t="s">
        <v>51</v>
      </c>
      <c r="I661">
        <v>2023</v>
      </c>
      <c r="J661">
        <v>34</v>
      </c>
      <c r="K661" t="s">
        <v>19</v>
      </c>
      <c r="L661" t="s">
        <v>20</v>
      </c>
      <c r="M661">
        <v>3</v>
      </c>
      <c r="N661" t="s">
        <v>19</v>
      </c>
      <c r="O661">
        <v>20000</v>
      </c>
      <c r="P661" t="str" cm="1">
        <f t="array" ref="P661">_xlfn.IFS(Hospital_Patient[[#This Row],[Age]]&lt;=18,"Young",Hospital_Patient[[#This Row],[Age]]&lt;=36,"Adult",Hospital_Patient[[#This Row],[Age]]&lt;=60,"Middle Age",Hospital_Patient[[#This Row],[Age]]&gt;60,"Senior")</f>
        <v>Senior</v>
      </c>
      <c r="Q661" t="str" cm="1">
        <f t="array" ref="Q6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61">
        <f>YEAR(Hospital_Patient[[#This Row],[Discharge_Date]])</f>
        <v>2023</v>
      </c>
    </row>
    <row r="662" spans="1:18" x14ac:dyDescent="0.25">
      <c r="A662">
        <v>9</v>
      </c>
      <c r="B662">
        <v>70</v>
      </c>
      <c r="C662" t="s">
        <v>15</v>
      </c>
      <c r="D662" t="s">
        <v>45</v>
      </c>
      <c r="E662" t="s">
        <v>46</v>
      </c>
      <c r="F662" s="5">
        <v>45057</v>
      </c>
      <c r="G662" s="5">
        <v>45065</v>
      </c>
      <c r="H662" t="s">
        <v>18</v>
      </c>
      <c r="I662">
        <v>2023</v>
      </c>
      <c r="J662">
        <v>8</v>
      </c>
      <c r="K662" t="s">
        <v>21</v>
      </c>
      <c r="L662" t="s">
        <v>26</v>
      </c>
      <c r="M662">
        <v>2</v>
      </c>
      <c r="N662" t="s">
        <v>19</v>
      </c>
      <c r="O662">
        <v>18000</v>
      </c>
      <c r="P662" t="str" cm="1">
        <f t="array" ref="P662">_xlfn.IFS(Hospital_Patient[[#This Row],[Age]]&lt;=18,"Young",Hospital_Patient[[#This Row],[Age]]&lt;=36,"Adult",Hospital_Patient[[#This Row],[Age]]&lt;=60,"Middle Age",Hospital_Patient[[#This Row],[Age]]&gt;60,"Senior")</f>
        <v>Senior</v>
      </c>
      <c r="Q662" t="str" cm="1">
        <f t="array" ref="Q6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62">
        <f>YEAR(Hospital_Patient[[#This Row],[Discharge_Date]])</f>
        <v>2023</v>
      </c>
    </row>
    <row r="663" spans="1:18" x14ac:dyDescent="0.25">
      <c r="A663">
        <v>115</v>
      </c>
      <c r="B663">
        <v>52</v>
      </c>
      <c r="C663" t="s">
        <v>15</v>
      </c>
      <c r="D663" t="s">
        <v>49</v>
      </c>
      <c r="E663" t="s">
        <v>50</v>
      </c>
      <c r="F663" s="5">
        <v>45056</v>
      </c>
      <c r="G663" s="5">
        <v>45065</v>
      </c>
      <c r="H663" t="s">
        <v>71</v>
      </c>
      <c r="I663">
        <v>2023</v>
      </c>
      <c r="J663">
        <v>9</v>
      </c>
      <c r="K663" t="s">
        <v>19</v>
      </c>
      <c r="L663" t="s">
        <v>26</v>
      </c>
      <c r="M663">
        <v>4</v>
      </c>
      <c r="N663" t="s">
        <v>19</v>
      </c>
      <c r="O663">
        <v>800</v>
      </c>
      <c r="P663" t="str" cm="1">
        <f t="array" ref="P663">_xlfn.IFS(Hospital_Patient[[#This Row],[Age]]&lt;=18,"Young",Hospital_Patient[[#This Row],[Age]]&lt;=36,"Adult",Hospital_Patient[[#This Row],[Age]]&lt;=60,"Middle Age",Hospital_Patient[[#This Row],[Age]]&gt;60,"Senior")</f>
        <v>Middle Age</v>
      </c>
      <c r="Q663" t="str" cm="1">
        <f t="array" ref="Q6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63">
        <f>YEAR(Hospital_Patient[[#This Row],[Discharge_Date]])</f>
        <v>2023</v>
      </c>
    </row>
    <row r="664" spans="1:18" x14ac:dyDescent="0.25">
      <c r="A664">
        <v>151</v>
      </c>
      <c r="B664">
        <v>30</v>
      </c>
      <c r="C664" t="s">
        <v>15</v>
      </c>
      <c r="D664" t="s">
        <v>27</v>
      </c>
      <c r="E664" t="s">
        <v>28</v>
      </c>
      <c r="F664" s="5">
        <v>45053</v>
      </c>
      <c r="G664" s="5">
        <v>45064</v>
      </c>
      <c r="H664" t="s">
        <v>70</v>
      </c>
      <c r="I664">
        <v>2023</v>
      </c>
      <c r="J664">
        <v>11</v>
      </c>
      <c r="K664" t="s">
        <v>19</v>
      </c>
      <c r="L664" t="s">
        <v>20</v>
      </c>
      <c r="M664">
        <v>5</v>
      </c>
      <c r="N664" t="s">
        <v>19</v>
      </c>
      <c r="O664">
        <v>500</v>
      </c>
      <c r="P664" t="str" cm="1">
        <f t="array" ref="P664">_xlfn.IFS(Hospital_Patient[[#This Row],[Age]]&lt;=18,"Young",Hospital_Patient[[#This Row],[Age]]&lt;=36,"Adult",Hospital_Patient[[#This Row],[Age]]&lt;=60,"Middle Age",Hospital_Patient[[#This Row],[Age]]&gt;60,"Senior")</f>
        <v>Adult</v>
      </c>
      <c r="Q664" t="str" cm="1">
        <f t="array" ref="Q6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64">
        <f>YEAR(Hospital_Patient[[#This Row],[Discharge_Date]])</f>
        <v>2023</v>
      </c>
    </row>
    <row r="665" spans="1:18" hidden="1" x14ac:dyDescent="0.25">
      <c r="A665">
        <v>152</v>
      </c>
      <c r="B665">
        <v>70</v>
      </c>
      <c r="C665" t="s">
        <v>22</v>
      </c>
      <c r="D665" t="s">
        <v>30</v>
      </c>
      <c r="E665" t="s">
        <v>31</v>
      </c>
      <c r="F665" s="5">
        <v>45047</v>
      </c>
      <c r="G665" s="5">
        <v>45064</v>
      </c>
      <c r="H665" t="s">
        <v>63</v>
      </c>
      <c r="I665">
        <v>2023</v>
      </c>
      <c r="J665">
        <v>17</v>
      </c>
      <c r="K665" t="s">
        <v>21</v>
      </c>
      <c r="L665" t="s">
        <v>26</v>
      </c>
      <c r="M665">
        <v>2</v>
      </c>
      <c r="N665" t="s">
        <v>19</v>
      </c>
      <c r="O665">
        <v>10000</v>
      </c>
      <c r="P665" t="str" cm="1">
        <f t="array" ref="P665">_xlfn.IFS(Hospital_Patient[[#This Row],[Age]]&lt;=18,"Young",Hospital_Patient[[#This Row],[Age]]&lt;=36,"Adult",Hospital_Patient[[#This Row],[Age]]&lt;=60,"Middle Age",Hospital_Patient[[#This Row],[Age]]&gt;60,"Senior")</f>
        <v>Senior</v>
      </c>
      <c r="Q665" t="str" cm="1">
        <f t="array" ref="Q6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65">
        <f>YEAR(Hospital_Patient[[#This Row],[Discharge_Date]])</f>
        <v>2023</v>
      </c>
    </row>
    <row r="666" spans="1:18" x14ac:dyDescent="0.25">
      <c r="A666">
        <v>654</v>
      </c>
      <c r="B666">
        <v>55</v>
      </c>
      <c r="C666" t="s">
        <v>15</v>
      </c>
      <c r="D666" t="s">
        <v>33</v>
      </c>
      <c r="E666" t="s">
        <v>34</v>
      </c>
      <c r="F666" s="5">
        <v>45009</v>
      </c>
      <c r="G666" s="5">
        <v>45063</v>
      </c>
      <c r="H666" t="s">
        <v>35</v>
      </c>
      <c r="I666">
        <v>2023</v>
      </c>
      <c r="J666">
        <v>54</v>
      </c>
      <c r="K666" t="s">
        <v>19</v>
      </c>
      <c r="L666" t="s">
        <v>20</v>
      </c>
      <c r="M666">
        <v>4</v>
      </c>
      <c r="N666" t="s">
        <v>21</v>
      </c>
      <c r="O666">
        <v>25000</v>
      </c>
      <c r="P666" t="str" cm="1">
        <f t="array" ref="P666">_xlfn.IFS(Hospital_Patient[[#This Row],[Age]]&lt;=18,"Young",Hospital_Patient[[#This Row],[Age]]&lt;=36,"Adult",Hospital_Patient[[#This Row],[Age]]&lt;=60,"Middle Age",Hospital_Patient[[#This Row],[Age]]&gt;60,"Senior")</f>
        <v>Middle Age</v>
      </c>
      <c r="Q666" t="str" cm="1">
        <f t="array" ref="Q6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66">
        <f>YEAR(Hospital_Patient[[#This Row],[Discharge_Date]])</f>
        <v>2023</v>
      </c>
    </row>
    <row r="667" spans="1:18" hidden="1" x14ac:dyDescent="0.25">
      <c r="A667">
        <v>927</v>
      </c>
      <c r="B667">
        <v>58</v>
      </c>
      <c r="C667" t="s">
        <v>22</v>
      </c>
      <c r="D667" t="s">
        <v>52</v>
      </c>
      <c r="E667" t="s">
        <v>53</v>
      </c>
      <c r="F667" s="5">
        <v>44992</v>
      </c>
      <c r="G667" s="5">
        <v>45063</v>
      </c>
      <c r="H667" t="s">
        <v>51</v>
      </c>
      <c r="I667">
        <v>2023</v>
      </c>
      <c r="J667">
        <v>71</v>
      </c>
      <c r="K667" t="s">
        <v>19</v>
      </c>
      <c r="L667" t="s">
        <v>20</v>
      </c>
      <c r="M667">
        <v>3</v>
      </c>
      <c r="N667" t="s">
        <v>19</v>
      </c>
      <c r="O667">
        <v>20000</v>
      </c>
      <c r="P667" t="str" cm="1">
        <f t="array" ref="P667">_xlfn.IFS(Hospital_Patient[[#This Row],[Age]]&lt;=18,"Young",Hospital_Patient[[#This Row],[Age]]&lt;=36,"Adult",Hospital_Patient[[#This Row],[Age]]&lt;=60,"Middle Age",Hospital_Patient[[#This Row],[Age]]&gt;60,"Senior")</f>
        <v>Middle Age</v>
      </c>
      <c r="Q667" t="str" cm="1">
        <f t="array" ref="Q6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67">
        <f>YEAR(Hospital_Patient[[#This Row],[Discharge_Date]])</f>
        <v>2023</v>
      </c>
    </row>
    <row r="668" spans="1:18" x14ac:dyDescent="0.25">
      <c r="A668">
        <v>142</v>
      </c>
      <c r="B668">
        <v>75</v>
      </c>
      <c r="C668" t="s">
        <v>15</v>
      </c>
      <c r="D668" t="s">
        <v>45</v>
      </c>
      <c r="E668" t="s">
        <v>46</v>
      </c>
      <c r="F668" s="5">
        <v>45045</v>
      </c>
      <c r="G668" s="5">
        <v>45062</v>
      </c>
      <c r="H668" t="s">
        <v>18</v>
      </c>
      <c r="I668">
        <v>2023</v>
      </c>
      <c r="J668">
        <v>17</v>
      </c>
      <c r="K668" t="s">
        <v>21</v>
      </c>
      <c r="L668" t="s">
        <v>26</v>
      </c>
      <c r="M668">
        <v>2</v>
      </c>
      <c r="N668" t="s">
        <v>19</v>
      </c>
      <c r="O668">
        <v>18000</v>
      </c>
      <c r="P668" t="str" cm="1">
        <f t="array" ref="P668">_xlfn.IFS(Hospital_Patient[[#This Row],[Age]]&lt;=18,"Young",Hospital_Patient[[#This Row],[Age]]&lt;=36,"Adult",Hospital_Patient[[#This Row],[Age]]&lt;=60,"Middle Age",Hospital_Patient[[#This Row],[Age]]&gt;60,"Senior")</f>
        <v>Senior</v>
      </c>
      <c r="Q668" t="str" cm="1">
        <f t="array" ref="Q6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68">
        <f>YEAR(Hospital_Patient[[#This Row],[Discharge_Date]])</f>
        <v>2023</v>
      </c>
    </row>
    <row r="669" spans="1:18" x14ac:dyDescent="0.25">
      <c r="A669">
        <v>566</v>
      </c>
      <c r="B669">
        <v>55</v>
      </c>
      <c r="C669" t="s">
        <v>15</v>
      </c>
      <c r="D669" t="s">
        <v>33</v>
      </c>
      <c r="E669" t="s">
        <v>34</v>
      </c>
      <c r="F669" s="5">
        <v>45014</v>
      </c>
      <c r="G669" s="5">
        <v>45062</v>
      </c>
      <c r="H669" t="s">
        <v>67</v>
      </c>
      <c r="I669">
        <v>2023</v>
      </c>
      <c r="J669">
        <v>48</v>
      </c>
      <c r="K669" t="s">
        <v>19</v>
      </c>
      <c r="L669" t="s">
        <v>20</v>
      </c>
      <c r="M669">
        <v>4</v>
      </c>
      <c r="N669" t="s">
        <v>19</v>
      </c>
      <c r="O669">
        <v>25000</v>
      </c>
      <c r="P669" t="str" cm="1">
        <f t="array" ref="P669">_xlfn.IFS(Hospital_Patient[[#This Row],[Age]]&lt;=18,"Young",Hospital_Patient[[#This Row],[Age]]&lt;=36,"Adult",Hospital_Patient[[#This Row],[Age]]&lt;=60,"Middle Age",Hospital_Patient[[#This Row],[Age]]&gt;60,"Senior")</f>
        <v>Middle Age</v>
      </c>
      <c r="Q669" t="str" cm="1">
        <f t="array" ref="Q6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69">
        <f>YEAR(Hospital_Patient[[#This Row],[Discharge_Date]])</f>
        <v>2023</v>
      </c>
    </row>
    <row r="670" spans="1:18" hidden="1" x14ac:dyDescent="0.25">
      <c r="A670">
        <v>312</v>
      </c>
      <c r="B670">
        <v>62</v>
      </c>
      <c r="C670" t="s">
        <v>22</v>
      </c>
      <c r="D670" t="s">
        <v>23</v>
      </c>
      <c r="E670" t="s">
        <v>24</v>
      </c>
      <c r="F670" s="5">
        <v>45034</v>
      </c>
      <c r="G670" s="5">
        <v>45058</v>
      </c>
      <c r="H670" t="s">
        <v>71</v>
      </c>
      <c r="I670">
        <v>2023</v>
      </c>
      <c r="J670">
        <v>24</v>
      </c>
      <c r="K670" t="s">
        <v>19</v>
      </c>
      <c r="L670" t="s">
        <v>26</v>
      </c>
      <c r="M670">
        <v>4</v>
      </c>
      <c r="N670" t="s">
        <v>19</v>
      </c>
      <c r="O670">
        <v>2000</v>
      </c>
      <c r="P670" t="str" cm="1">
        <f t="array" ref="P670">_xlfn.IFS(Hospital_Patient[[#This Row],[Age]]&lt;=18,"Young",Hospital_Patient[[#This Row],[Age]]&lt;=36,"Adult",Hospital_Patient[[#This Row],[Age]]&lt;=60,"Middle Age",Hospital_Patient[[#This Row],[Age]]&gt;60,"Senior")</f>
        <v>Senior</v>
      </c>
      <c r="Q670" t="str" cm="1">
        <f t="array" ref="Q6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70">
        <f>YEAR(Hospital_Patient[[#This Row],[Discharge_Date]])</f>
        <v>2023</v>
      </c>
    </row>
    <row r="671" spans="1:18" hidden="1" x14ac:dyDescent="0.25">
      <c r="A671">
        <v>383</v>
      </c>
      <c r="B671">
        <v>50</v>
      </c>
      <c r="C671" t="s">
        <v>22</v>
      </c>
      <c r="D671" t="s">
        <v>57</v>
      </c>
      <c r="E671" t="s">
        <v>58</v>
      </c>
      <c r="F671" s="5">
        <v>45029</v>
      </c>
      <c r="G671" s="5">
        <v>45058</v>
      </c>
      <c r="H671" t="s">
        <v>77</v>
      </c>
      <c r="I671">
        <v>2023</v>
      </c>
      <c r="J671">
        <v>29</v>
      </c>
      <c r="K671" t="s">
        <v>19</v>
      </c>
      <c r="L671" t="s">
        <v>20</v>
      </c>
      <c r="M671">
        <v>3</v>
      </c>
      <c r="N671" t="s">
        <v>19</v>
      </c>
      <c r="O671">
        <v>6000</v>
      </c>
      <c r="P671" t="str" cm="1">
        <f t="array" ref="P671">_xlfn.IFS(Hospital_Patient[[#This Row],[Age]]&lt;=18,"Young",Hospital_Patient[[#This Row],[Age]]&lt;=36,"Adult",Hospital_Patient[[#This Row],[Age]]&lt;=60,"Middle Age",Hospital_Patient[[#This Row],[Age]]&gt;60,"Senior")</f>
        <v>Middle Age</v>
      </c>
      <c r="Q671" t="str" cm="1">
        <f t="array" ref="Q6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71">
        <f>YEAR(Hospital_Patient[[#This Row],[Discharge_Date]])</f>
        <v>2023</v>
      </c>
    </row>
    <row r="672" spans="1:18" x14ac:dyDescent="0.25">
      <c r="A672">
        <v>856</v>
      </c>
      <c r="B672">
        <v>60</v>
      </c>
      <c r="C672" t="s">
        <v>15</v>
      </c>
      <c r="D672" t="s">
        <v>59</v>
      </c>
      <c r="E672" t="s">
        <v>60</v>
      </c>
      <c r="F672" s="5">
        <v>44994</v>
      </c>
      <c r="G672" s="5">
        <v>45056</v>
      </c>
      <c r="H672" t="s">
        <v>73</v>
      </c>
      <c r="I672">
        <v>2023</v>
      </c>
      <c r="J672">
        <v>62</v>
      </c>
      <c r="K672" t="s">
        <v>19</v>
      </c>
      <c r="L672" t="s">
        <v>26</v>
      </c>
      <c r="M672">
        <v>4</v>
      </c>
      <c r="N672" t="s">
        <v>19</v>
      </c>
      <c r="O672">
        <v>4000</v>
      </c>
      <c r="P672" t="str" cm="1">
        <f t="array" ref="P672">_xlfn.IFS(Hospital_Patient[[#This Row],[Age]]&lt;=18,"Young",Hospital_Patient[[#This Row],[Age]]&lt;=36,"Adult",Hospital_Patient[[#This Row],[Age]]&lt;=60,"Middle Age",Hospital_Patient[[#This Row],[Age]]&gt;60,"Senior")</f>
        <v>Middle Age</v>
      </c>
      <c r="Q672" t="str" cm="1">
        <f t="array" ref="Q6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72">
        <f>YEAR(Hospital_Patient[[#This Row],[Discharge_Date]])</f>
        <v>2023</v>
      </c>
    </row>
    <row r="673" spans="1:18" x14ac:dyDescent="0.25">
      <c r="A673">
        <v>212</v>
      </c>
      <c r="B673">
        <v>55</v>
      </c>
      <c r="C673" t="s">
        <v>15</v>
      </c>
      <c r="D673" t="s">
        <v>33</v>
      </c>
      <c r="E673" t="s">
        <v>34</v>
      </c>
      <c r="F673" s="5">
        <v>45031</v>
      </c>
      <c r="G673" s="5">
        <v>45055</v>
      </c>
      <c r="H673" t="s">
        <v>64</v>
      </c>
      <c r="I673">
        <v>2023</v>
      </c>
      <c r="J673">
        <v>24</v>
      </c>
      <c r="K673" t="s">
        <v>19</v>
      </c>
      <c r="L673" t="s">
        <v>20</v>
      </c>
      <c r="M673">
        <v>4</v>
      </c>
      <c r="N673" t="s">
        <v>19</v>
      </c>
      <c r="O673">
        <v>25000</v>
      </c>
      <c r="P673" t="str" cm="1">
        <f t="array" ref="P673">_xlfn.IFS(Hospital_Patient[[#This Row],[Age]]&lt;=18,"Young",Hospital_Patient[[#This Row],[Age]]&lt;=36,"Adult",Hospital_Patient[[#This Row],[Age]]&lt;=60,"Middle Age",Hospital_Patient[[#This Row],[Age]]&gt;60,"Senior")</f>
        <v>Middle Age</v>
      </c>
      <c r="Q673" t="str" cm="1">
        <f t="array" ref="Q6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73">
        <f>YEAR(Hospital_Patient[[#This Row],[Discharge_Date]])</f>
        <v>2023</v>
      </c>
    </row>
    <row r="674" spans="1:18" hidden="1" x14ac:dyDescent="0.25">
      <c r="A674">
        <v>860</v>
      </c>
      <c r="B674">
        <v>70</v>
      </c>
      <c r="C674" t="s">
        <v>22</v>
      </c>
      <c r="D674" t="s">
        <v>30</v>
      </c>
      <c r="E674" t="s">
        <v>31</v>
      </c>
      <c r="F674" s="5">
        <v>44989</v>
      </c>
      <c r="G674" s="5">
        <v>45055</v>
      </c>
      <c r="H674" t="s">
        <v>32</v>
      </c>
      <c r="I674">
        <v>2023</v>
      </c>
      <c r="J674">
        <v>66</v>
      </c>
      <c r="K674" t="s">
        <v>21</v>
      </c>
      <c r="L674" t="s">
        <v>26</v>
      </c>
      <c r="M674">
        <v>2</v>
      </c>
      <c r="N674" t="s">
        <v>19</v>
      </c>
      <c r="O674">
        <v>10000</v>
      </c>
      <c r="P674" t="str" cm="1">
        <f t="array" ref="P674">_xlfn.IFS(Hospital_Patient[[#This Row],[Age]]&lt;=18,"Young",Hospital_Patient[[#This Row],[Age]]&lt;=36,"Adult",Hospital_Patient[[#This Row],[Age]]&lt;=60,"Middle Age",Hospital_Patient[[#This Row],[Age]]&gt;60,"Senior")</f>
        <v>Senior</v>
      </c>
      <c r="Q674" t="str" cm="1">
        <f t="array" ref="Q6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74">
        <f>YEAR(Hospital_Patient[[#This Row],[Discharge_Date]])</f>
        <v>2023</v>
      </c>
    </row>
    <row r="675" spans="1:18" hidden="1" x14ac:dyDescent="0.25">
      <c r="A675">
        <v>980</v>
      </c>
      <c r="B675">
        <v>68</v>
      </c>
      <c r="C675" t="s">
        <v>22</v>
      </c>
      <c r="D675" t="s">
        <v>36</v>
      </c>
      <c r="E675" t="s">
        <v>37</v>
      </c>
      <c r="F675" s="5">
        <v>44985</v>
      </c>
      <c r="G675" s="5">
        <v>45055</v>
      </c>
      <c r="H675" t="s">
        <v>38</v>
      </c>
      <c r="I675">
        <v>2023</v>
      </c>
      <c r="J675">
        <v>70</v>
      </c>
      <c r="K675" t="s">
        <v>19</v>
      </c>
      <c r="L675" t="s">
        <v>26</v>
      </c>
      <c r="M675">
        <v>4</v>
      </c>
      <c r="N675" t="s">
        <v>21</v>
      </c>
      <c r="O675">
        <v>1000</v>
      </c>
      <c r="P675" t="str" cm="1">
        <f t="array" ref="P675">_xlfn.IFS(Hospital_Patient[[#This Row],[Age]]&lt;=18,"Young",Hospital_Patient[[#This Row],[Age]]&lt;=36,"Adult",Hospital_Patient[[#This Row],[Age]]&lt;=60,"Middle Age",Hospital_Patient[[#This Row],[Age]]&gt;60,"Senior")</f>
        <v>Senior</v>
      </c>
      <c r="Q675" t="str" cm="1">
        <f t="array" ref="Q6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75">
        <f>YEAR(Hospital_Patient[[#This Row],[Discharge_Date]])</f>
        <v>2023</v>
      </c>
    </row>
    <row r="676" spans="1:18" x14ac:dyDescent="0.25">
      <c r="A676">
        <v>968</v>
      </c>
      <c r="B676">
        <v>75</v>
      </c>
      <c r="C676" t="s">
        <v>15</v>
      </c>
      <c r="D676" t="s">
        <v>45</v>
      </c>
      <c r="E676" t="s">
        <v>46</v>
      </c>
      <c r="F676" s="5">
        <v>44982</v>
      </c>
      <c r="G676" s="5">
        <v>45055</v>
      </c>
      <c r="H676" t="s">
        <v>65</v>
      </c>
      <c r="I676">
        <v>2023</v>
      </c>
      <c r="J676">
        <v>73</v>
      </c>
      <c r="K676" t="s">
        <v>21</v>
      </c>
      <c r="L676" t="s">
        <v>26</v>
      </c>
      <c r="M676">
        <v>2</v>
      </c>
      <c r="N676" t="s">
        <v>19</v>
      </c>
      <c r="O676">
        <v>18000</v>
      </c>
      <c r="P676" t="str" cm="1">
        <f t="array" ref="P676">_xlfn.IFS(Hospital_Patient[[#This Row],[Age]]&lt;=18,"Young",Hospital_Patient[[#This Row],[Age]]&lt;=36,"Adult",Hospital_Patient[[#This Row],[Age]]&lt;=60,"Middle Age",Hospital_Patient[[#This Row],[Age]]&gt;60,"Senior")</f>
        <v>Senior</v>
      </c>
      <c r="Q676" t="str" cm="1">
        <f t="array" ref="Q6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76">
        <f>YEAR(Hospital_Patient[[#This Row],[Discharge_Date]])</f>
        <v>2023</v>
      </c>
    </row>
    <row r="677" spans="1:18" hidden="1" x14ac:dyDescent="0.25">
      <c r="A677">
        <v>162</v>
      </c>
      <c r="B677">
        <v>55</v>
      </c>
      <c r="C677" t="s">
        <v>22</v>
      </c>
      <c r="D677" t="s">
        <v>57</v>
      </c>
      <c r="E677" t="s">
        <v>58</v>
      </c>
      <c r="F677" s="5">
        <v>45040</v>
      </c>
      <c r="G677" s="5">
        <v>45054</v>
      </c>
      <c r="H677" t="s">
        <v>51</v>
      </c>
      <c r="I677">
        <v>2023</v>
      </c>
      <c r="J677">
        <v>14</v>
      </c>
      <c r="K677" t="s">
        <v>19</v>
      </c>
      <c r="L677" t="s">
        <v>20</v>
      </c>
      <c r="M677">
        <v>3</v>
      </c>
      <c r="N677" t="s">
        <v>19</v>
      </c>
      <c r="O677">
        <v>6000</v>
      </c>
      <c r="P677" t="str" cm="1">
        <f t="array" ref="P677">_xlfn.IFS(Hospital_Patient[[#This Row],[Age]]&lt;=18,"Young",Hospital_Patient[[#This Row],[Age]]&lt;=36,"Adult",Hospital_Patient[[#This Row],[Age]]&lt;=60,"Middle Age",Hospital_Patient[[#This Row],[Age]]&gt;60,"Senior")</f>
        <v>Middle Age</v>
      </c>
      <c r="Q677" t="str" cm="1">
        <f t="array" ref="Q6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77">
        <f>YEAR(Hospital_Patient[[#This Row],[Discharge_Date]])</f>
        <v>2023</v>
      </c>
    </row>
    <row r="678" spans="1:18" x14ac:dyDescent="0.25">
      <c r="A678">
        <v>241</v>
      </c>
      <c r="B678">
        <v>55</v>
      </c>
      <c r="C678" t="s">
        <v>15</v>
      </c>
      <c r="D678" t="s">
        <v>33</v>
      </c>
      <c r="E678" t="s">
        <v>34</v>
      </c>
      <c r="F678" s="5">
        <v>45028</v>
      </c>
      <c r="G678" s="5">
        <v>45054</v>
      </c>
      <c r="H678" t="s">
        <v>35</v>
      </c>
      <c r="I678">
        <v>2023</v>
      </c>
      <c r="J678">
        <v>26</v>
      </c>
      <c r="K678" t="s">
        <v>19</v>
      </c>
      <c r="L678" t="s">
        <v>20</v>
      </c>
      <c r="M678">
        <v>4</v>
      </c>
      <c r="N678" t="s">
        <v>19</v>
      </c>
      <c r="O678">
        <v>25000</v>
      </c>
      <c r="P678" t="str" cm="1">
        <f t="array" ref="P678">_xlfn.IFS(Hospital_Patient[[#This Row],[Age]]&lt;=18,"Young",Hospital_Patient[[#This Row],[Age]]&lt;=36,"Adult",Hospital_Patient[[#This Row],[Age]]&lt;=60,"Middle Age",Hospital_Patient[[#This Row],[Age]]&gt;60,"Senior")</f>
        <v>Middle Age</v>
      </c>
      <c r="Q678" t="str" cm="1">
        <f t="array" ref="Q6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78">
        <f>YEAR(Hospital_Patient[[#This Row],[Discharge_Date]])</f>
        <v>2023</v>
      </c>
    </row>
    <row r="679" spans="1:18" x14ac:dyDescent="0.25">
      <c r="A679">
        <v>315</v>
      </c>
      <c r="B679">
        <v>53</v>
      </c>
      <c r="C679" t="s">
        <v>15</v>
      </c>
      <c r="D679" t="s">
        <v>33</v>
      </c>
      <c r="E679" t="s">
        <v>34</v>
      </c>
      <c r="F679" s="5">
        <v>45023</v>
      </c>
      <c r="G679" s="5">
        <v>45054</v>
      </c>
      <c r="H679" t="s">
        <v>64</v>
      </c>
      <c r="I679">
        <v>2023</v>
      </c>
      <c r="J679">
        <v>31</v>
      </c>
      <c r="K679" t="s">
        <v>21</v>
      </c>
      <c r="L679" t="s">
        <v>20</v>
      </c>
      <c r="M679">
        <v>4</v>
      </c>
      <c r="N679" t="s">
        <v>21</v>
      </c>
      <c r="O679">
        <v>25000</v>
      </c>
      <c r="P679" t="str" cm="1">
        <f t="array" ref="P679">_xlfn.IFS(Hospital_Patient[[#This Row],[Age]]&lt;=18,"Young",Hospital_Patient[[#This Row],[Age]]&lt;=36,"Adult",Hospital_Patient[[#This Row],[Age]]&lt;=60,"Middle Age",Hospital_Patient[[#This Row],[Age]]&gt;60,"Senior")</f>
        <v>Middle Age</v>
      </c>
      <c r="Q679" t="str" cm="1">
        <f t="array" ref="Q6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79">
        <f>YEAR(Hospital_Patient[[#This Row],[Discharge_Date]])</f>
        <v>2023</v>
      </c>
    </row>
    <row r="680" spans="1:18" x14ac:dyDescent="0.25">
      <c r="A680">
        <v>448</v>
      </c>
      <c r="B680">
        <v>55</v>
      </c>
      <c r="C680" t="s">
        <v>15</v>
      </c>
      <c r="D680" t="s">
        <v>33</v>
      </c>
      <c r="E680" t="s">
        <v>34</v>
      </c>
      <c r="F680" s="5">
        <v>45014</v>
      </c>
      <c r="G680" s="5">
        <v>45054</v>
      </c>
      <c r="H680" t="s">
        <v>35</v>
      </c>
      <c r="I680">
        <v>2023</v>
      </c>
      <c r="J680">
        <v>40</v>
      </c>
      <c r="K680" t="s">
        <v>19</v>
      </c>
      <c r="L680" t="s">
        <v>20</v>
      </c>
      <c r="M680">
        <v>4</v>
      </c>
      <c r="N680" t="s">
        <v>19</v>
      </c>
      <c r="O680">
        <v>25000</v>
      </c>
      <c r="P680" t="str" cm="1">
        <f t="array" ref="P680">_xlfn.IFS(Hospital_Patient[[#This Row],[Age]]&lt;=18,"Young",Hospital_Patient[[#This Row],[Age]]&lt;=36,"Adult",Hospital_Patient[[#This Row],[Age]]&lt;=60,"Middle Age",Hospital_Patient[[#This Row],[Age]]&gt;60,"Senior")</f>
        <v>Middle Age</v>
      </c>
      <c r="Q680" t="str" cm="1">
        <f t="array" ref="Q6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80">
        <f>YEAR(Hospital_Patient[[#This Row],[Discharge_Date]])</f>
        <v>2023</v>
      </c>
    </row>
    <row r="681" spans="1:18" hidden="1" x14ac:dyDescent="0.25">
      <c r="A681">
        <v>285</v>
      </c>
      <c r="B681">
        <v>78</v>
      </c>
      <c r="C681" t="s">
        <v>22</v>
      </c>
      <c r="D681" t="s">
        <v>30</v>
      </c>
      <c r="E681" t="s">
        <v>31</v>
      </c>
      <c r="F681" s="5">
        <v>45027</v>
      </c>
      <c r="G681" s="5">
        <v>45053</v>
      </c>
      <c r="H681" t="s">
        <v>63</v>
      </c>
      <c r="I681">
        <v>2023</v>
      </c>
      <c r="J681">
        <v>26</v>
      </c>
      <c r="K681" t="s">
        <v>19</v>
      </c>
      <c r="L681" t="s">
        <v>26</v>
      </c>
      <c r="M681">
        <v>2</v>
      </c>
      <c r="N681" t="s">
        <v>21</v>
      </c>
      <c r="O681">
        <v>10000</v>
      </c>
      <c r="P681" t="str" cm="1">
        <f t="array" ref="P681">_xlfn.IFS(Hospital_Patient[[#This Row],[Age]]&lt;=18,"Young",Hospital_Patient[[#This Row],[Age]]&lt;=36,"Adult",Hospital_Patient[[#This Row],[Age]]&lt;=60,"Middle Age",Hospital_Patient[[#This Row],[Age]]&gt;60,"Senior")</f>
        <v>Senior</v>
      </c>
      <c r="Q681" t="str" cm="1">
        <f t="array" ref="Q6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81">
        <f>YEAR(Hospital_Patient[[#This Row],[Discharge_Date]])</f>
        <v>2023</v>
      </c>
    </row>
    <row r="682" spans="1:18" x14ac:dyDescent="0.25">
      <c r="A682">
        <v>595</v>
      </c>
      <c r="B682">
        <v>55</v>
      </c>
      <c r="C682" t="s">
        <v>15</v>
      </c>
      <c r="D682" t="s">
        <v>33</v>
      </c>
      <c r="E682" t="s">
        <v>34</v>
      </c>
      <c r="F682" s="5">
        <v>45003</v>
      </c>
      <c r="G682" s="5">
        <v>45053</v>
      </c>
      <c r="H682" t="s">
        <v>64</v>
      </c>
      <c r="I682">
        <v>2023</v>
      </c>
      <c r="J682">
        <v>50</v>
      </c>
      <c r="K682" t="s">
        <v>19</v>
      </c>
      <c r="L682" t="s">
        <v>20</v>
      </c>
      <c r="M682">
        <v>4</v>
      </c>
      <c r="N682" t="s">
        <v>19</v>
      </c>
      <c r="O682">
        <v>25000</v>
      </c>
      <c r="P682" t="str" cm="1">
        <f t="array" ref="P682">_xlfn.IFS(Hospital_Patient[[#This Row],[Age]]&lt;=18,"Young",Hospital_Patient[[#This Row],[Age]]&lt;=36,"Adult",Hospital_Patient[[#This Row],[Age]]&lt;=60,"Middle Age",Hospital_Patient[[#This Row],[Age]]&gt;60,"Senior")</f>
        <v>Middle Age</v>
      </c>
      <c r="Q682" t="str" cm="1">
        <f t="array" ref="Q6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82">
        <f>YEAR(Hospital_Patient[[#This Row],[Discharge_Date]])</f>
        <v>2023</v>
      </c>
    </row>
    <row r="683" spans="1:18" hidden="1" x14ac:dyDescent="0.25">
      <c r="A683">
        <v>912</v>
      </c>
      <c r="B683">
        <v>67</v>
      </c>
      <c r="C683" t="s">
        <v>22</v>
      </c>
      <c r="D683" t="s">
        <v>52</v>
      </c>
      <c r="E683" t="s">
        <v>53</v>
      </c>
      <c r="F683" s="5">
        <v>44983</v>
      </c>
      <c r="G683" s="5">
        <v>45053</v>
      </c>
      <c r="H683" t="s">
        <v>51</v>
      </c>
      <c r="I683">
        <v>2023</v>
      </c>
      <c r="J683">
        <v>70</v>
      </c>
      <c r="K683" t="s">
        <v>19</v>
      </c>
      <c r="L683" t="s">
        <v>20</v>
      </c>
      <c r="M683">
        <v>3</v>
      </c>
      <c r="N683" t="s">
        <v>21</v>
      </c>
      <c r="O683">
        <v>20000</v>
      </c>
      <c r="P683" t="str" cm="1">
        <f t="array" ref="P683">_xlfn.IFS(Hospital_Patient[[#This Row],[Age]]&lt;=18,"Young",Hospital_Patient[[#This Row],[Age]]&lt;=36,"Adult",Hospital_Patient[[#This Row],[Age]]&lt;=60,"Middle Age",Hospital_Patient[[#This Row],[Age]]&gt;60,"Senior")</f>
        <v>Senior</v>
      </c>
      <c r="Q683" t="str" cm="1">
        <f t="array" ref="Q6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83">
        <f>YEAR(Hospital_Patient[[#This Row],[Discharge_Date]])</f>
        <v>2023</v>
      </c>
    </row>
    <row r="684" spans="1:18" x14ac:dyDescent="0.25">
      <c r="A684">
        <v>367</v>
      </c>
      <c r="B684">
        <v>32</v>
      </c>
      <c r="C684" t="s">
        <v>15</v>
      </c>
      <c r="D684" t="s">
        <v>54</v>
      </c>
      <c r="E684" t="s">
        <v>55</v>
      </c>
      <c r="F684" s="5">
        <v>45025</v>
      </c>
      <c r="G684" s="5">
        <v>45052</v>
      </c>
      <c r="H684" t="s">
        <v>68</v>
      </c>
      <c r="I684">
        <v>2023</v>
      </c>
      <c r="J684">
        <v>27</v>
      </c>
      <c r="K684" t="s">
        <v>19</v>
      </c>
      <c r="L684" t="s">
        <v>20</v>
      </c>
      <c r="M684">
        <v>4</v>
      </c>
      <c r="N684" t="s">
        <v>21</v>
      </c>
      <c r="O684">
        <v>12000</v>
      </c>
      <c r="P684" t="str" cm="1">
        <f t="array" ref="P684">_xlfn.IFS(Hospital_Patient[[#This Row],[Age]]&lt;=18,"Young",Hospital_Patient[[#This Row],[Age]]&lt;=36,"Adult",Hospital_Patient[[#This Row],[Age]]&lt;=60,"Middle Age",Hospital_Patient[[#This Row],[Age]]&gt;60,"Senior")</f>
        <v>Adult</v>
      </c>
      <c r="Q684" t="str" cm="1">
        <f t="array" ref="Q6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84">
        <f>YEAR(Hospital_Patient[[#This Row],[Discharge_Date]])</f>
        <v>2023</v>
      </c>
    </row>
    <row r="685" spans="1:18" x14ac:dyDescent="0.25">
      <c r="A685">
        <v>30</v>
      </c>
      <c r="B685">
        <v>60</v>
      </c>
      <c r="C685" t="s">
        <v>15</v>
      </c>
      <c r="D685" t="s">
        <v>59</v>
      </c>
      <c r="E685" t="s">
        <v>60</v>
      </c>
      <c r="F685" s="5">
        <v>45045</v>
      </c>
      <c r="G685" s="5">
        <v>45051</v>
      </c>
      <c r="H685" t="s">
        <v>61</v>
      </c>
      <c r="I685">
        <v>2023</v>
      </c>
      <c r="J685">
        <v>6</v>
      </c>
      <c r="K685" t="s">
        <v>19</v>
      </c>
      <c r="L685" t="s">
        <v>26</v>
      </c>
      <c r="M685">
        <v>4</v>
      </c>
      <c r="N685" t="s">
        <v>21</v>
      </c>
      <c r="O685">
        <v>4000</v>
      </c>
      <c r="P685" t="str" cm="1">
        <f t="array" ref="P685">_xlfn.IFS(Hospital_Patient[[#This Row],[Age]]&lt;=18,"Young",Hospital_Patient[[#This Row],[Age]]&lt;=36,"Adult",Hospital_Patient[[#This Row],[Age]]&lt;=60,"Middle Age",Hospital_Patient[[#This Row],[Age]]&gt;60,"Senior")</f>
        <v>Middle Age</v>
      </c>
      <c r="Q685" t="str" cm="1">
        <f t="array" ref="Q6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85">
        <f>YEAR(Hospital_Patient[[#This Row],[Discharge_Date]])</f>
        <v>2023</v>
      </c>
    </row>
    <row r="686" spans="1:18" x14ac:dyDescent="0.25">
      <c r="A686">
        <v>380</v>
      </c>
      <c r="B686">
        <v>52</v>
      </c>
      <c r="C686" t="s">
        <v>15</v>
      </c>
      <c r="D686" t="s">
        <v>49</v>
      </c>
      <c r="E686" t="s">
        <v>50</v>
      </c>
      <c r="F686" s="5">
        <v>45024</v>
      </c>
      <c r="G686" s="5">
        <v>45051</v>
      </c>
      <c r="H686" t="s">
        <v>51</v>
      </c>
      <c r="I686">
        <v>2023</v>
      </c>
      <c r="J686">
        <v>27</v>
      </c>
      <c r="K686" t="s">
        <v>19</v>
      </c>
      <c r="L686" t="s">
        <v>26</v>
      </c>
      <c r="M686">
        <v>4</v>
      </c>
      <c r="N686" t="s">
        <v>19</v>
      </c>
      <c r="O686">
        <v>800</v>
      </c>
      <c r="P686" t="str" cm="1">
        <f t="array" ref="P686">_xlfn.IFS(Hospital_Patient[[#This Row],[Age]]&lt;=18,"Young",Hospital_Patient[[#This Row],[Age]]&lt;=36,"Adult",Hospital_Patient[[#This Row],[Age]]&lt;=60,"Middle Age",Hospital_Patient[[#This Row],[Age]]&gt;60,"Senior")</f>
        <v>Middle Age</v>
      </c>
      <c r="Q686" t="str" cm="1">
        <f t="array" ref="Q6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86">
        <f>YEAR(Hospital_Patient[[#This Row],[Discharge_Date]])</f>
        <v>2023</v>
      </c>
    </row>
    <row r="687" spans="1:18" hidden="1" x14ac:dyDescent="0.25">
      <c r="A687">
        <v>421</v>
      </c>
      <c r="B687">
        <v>40</v>
      </c>
      <c r="C687" t="s">
        <v>22</v>
      </c>
      <c r="D687" t="s">
        <v>42</v>
      </c>
      <c r="E687" t="s">
        <v>43</v>
      </c>
      <c r="F687" s="5">
        <v>45016</v>
      </c>
      <c r="G687" s="5">
        <v>45050</v>
      </c>
      <c r="H687" t="s">
        <v>44</v>
      </c>
      <c r="I687">
        <v>2023</v>
      </c>
      <c r="J687">
        <v>34</v>
      </c>
      <c r="K687" t="s">
        <v>19</v>
      </c>
      <c r="L687" t="s">
        <v>20</v>
      </c>
      <c r="M687">
        <v>4</v>
      </c>
      <c r="N687" t="s">
        <v>19</v>
      </c>
      <c r="O687">
        <v>3000</v>
      </c>
      <c r="P687" t="str" cm="1">
        <f t="array" ref="P687">_xlfn.IFS(Hospital_Patient[[#This Row],[Age]]&lt;=18,"Young",Hospital_Patient[[#This Row],[Age]]&lt;=36,"Adult",Hospital_Patient[[#This Row],[Age]]&lt;=60,"Middle Age",Hospital_Patient[[#This Row],[Age]]&gt;60,"Senior")</f>
        <v>Middle Age</v>
      </c>
      <c r="Q687" t="str" cm="1">
        <f t="array" ref="Q6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87">
        <f>YEAR(Hospital_Patient[[#This Row],[Discharge_Date]])</f>
        <v>2023</v>
      </c>
    </row>
    <row r="688" spans="1:18" x14ac:dyDescent="0.25">
      <c r="A688">
        <v>518</v>
      </c>
      <c r="B688">
        <v>55</v>
      </c>
      <c r="C688" t="s">
        <v>15</v>
      </c>
      <c r="D688" t="s">
        <v>16</v>
      </c>
      <c r="E688" t="s">
        <v>17</v>
      </c>
      <c r="F688" s="5">
        <v>45010</v>
      </c>
      <c r="G688" s="5">
        <v>45050</v>
      </c>
      <c r="H688" t="s">
        <v>69</v>
      </c>
      <c r="I688">
        <v>2023</v>
      </c>
      <c r="J688">
        <v>40</v>
      </c>
      <c r="K688" t="s">
        <v>21</v>
      </c>
      <c r="L688" t="s">
        <v>20</v>
      </c>
      <c r="M688">
        <v>3</v>
      </c>
      <c r="N688" t="s">
        <v>21</v>
      </c>
      <c r="O688">
        <v>15000</v>
      </c>
      <c r="P688" t="str" cm="1">
        <f t="array" ref="P688">_xlfn.IFS(Hospital_Patient[[#This Row],[Age]]&lt;=18,"Young",Hospital_Patient[[#This Row],[Age]]&lt;=36,"Adult",Hospital_Patient[[#This Row],[Age]]&lt;=60,"Middle Age",Hospital_Patient[[#This Row],[Age]]&gt;60,"Senior")</f>
        <v>Middle Age</v>
      </c>
      <c r="Q688" t="str" cm="1">
        <f t="array" ref="Q6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88">
        <f>YEAR(Hospital_Patient[[#This Row],[Discharge_Date]])</f>
        <v>2023</v>
      </c>
    </row>
    <row r="689" spans="1:18" hidden="1" x14ac:dyDescent="0.25">
      <c r="A689">
        <v>965</v>
      </c>
      <c r="B689">
        <v>72</v>
      </c>
      <c r="C689" t="s">
        <v>22</v>
      </c>
      <c r="D689" t="s">
        <v>36</v>
      </c>
      <c r="E689" t="s">
        <v>37</v>
      </c>
      <c r="F689" s="5">
        <v>44977</v>
      </c>
      <c r="G689" s="5">
        <v>45046</v>
      </c>
      <c r="H689" t="s">
        <v>79</v>
      </c>
      <c r="I689">
        <v>2023</v>
      </c>
      <c r="J689">
        <v>69</v>
      </c>
      <c r="K689" t="s">
        <v>19</v>
      </c>
      <c r="L689" t="s">
        <v>26</v>
      </c>
      <c r="M689">
        <v>4</v>
      </c>
      <c r="N689" t="s">
        <v>19</v>
      </c>
      <c r="O689">
        <v>1000</v>
      </c>
      <c r="P689" t="str" cm="1">
        <f t="array" ref="P689">_xlfn.IFS(Hospital_Patient[[#This Row],[Age]]&lt;=18,"Young",Hospital_Patient[[#This Row],[Age]]&lt;=36,"Adult",Hospital_Patient[[#This Row],[Age]]&lt;=60,"Middle Age",Hospital_Patient[[#This Row],[Age]]&gt;60,"Senior")</f>
        <v>Senior</v>
      </c>
      <c r="Q689" t="str" cm="1">
        <f t="array" ref="Q6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89">
        <f>YEAR(Hospital_Patient[[#This Row],[Discharge_Date]])</f>
        <v>2023</v>
      </c>
    </row>
    <row r="690" spans="1:18" x14ac:dyDescent="0.25">
      <c r="A690">
        <v>92</v>
      </c>
      <c r="B690">
        <v>30</v>
      </c>
      <c r="C690" t="s">
        <v>15</v>
      </c>
      <c r="D690" t="s">
        <v>27</v>
      </c>
      <c r="E690" t="s">
        <v>28</v>
      </c>
      <c r="F690" s="5">
        <v>45038</v>
      </c>
      <c r="G690" s="5">
        <v>45045</v>
      </c>
      <c r="H690" t="s">
        <v>77</v>
      </c>
      <c r="I690">
        <v>2023</v>
      </c>
      <c r="J690">
        <v>7</v>
      </c>
      <c r="K690" t="s">
        <v>19</v>
      </c>
      <c r="L690" t="s">
        <v>20</v>
      </c>
      <c r="M690">
        <v>5</v>
      </c>
      <c r="N690" t="s">
        <v>19</v>
      </c>
      <c r="O690">
        <v>500</v>
      </c>
      <c r="P690" t="str" cm="1">
        <f t="array" ref="P690">_xlfn.IFS(Hospital_Patient[[#This Row],[Age]]&lt;=18,"Young",Hospital_Patient[[#This Row],[Age]]&lt;=36,"Adult",Hospital_Patient[[#This Row],[Age]]&lt;=60,"Middle Age",Hospital_Patient[[#This Row],[Age]]&gt;60,"Senior")</f>
        <v>Adult</v>
      </c>
      <c r="Q690" t="str" cm="1">
        <f t="array" ref="Q6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90">
        <f>YEAR(Hospital_Patient[[#This Row],[Discharge_Date]])</f>
        <v>2023</v>
      </c>
    </row>
    <row r="691" spans="1:18" x14ac:dyDescent="0.25">
      <c r="A691">
        <v>176</v>
      </c>
      <c r="B691">
        <v>35</v>
      </c>
      <c r="C691" t="s">
        <v>15</v>
      </c>
      <c r="D691" t="s">
        <v>54</v>
      </c>
      <c r="E691" t="s">
        <v>55</v>
      </c>
      <c r="F691" s="5">
        <v>45029</v>
      </c>
      <c r="G691" s="5">
        <v>45043</v>
      </c>
      <c r="H691" t="s">
        <v>56</v>
      </c>
      <c r="I691">
        <v>2023</v>
      </c>
      <c r="J691">
        <v>14</v>
      </c>
      <c r="K691" t="s">
        <v>19</v>
      </c>
      <c r="L691" t="s">
        <v>20</v>
      </c>
      <c r="M691">
        <v>4</v>
      </c>
      <c r="N691" t="s">
        <v>21</v>
      </c>
      <c r="O691">
        <v>12000</v>
      </c>
      <c r="P691" t="str" cm="1">
        <f t="array" ref="P691">_xlfn.IFS(Hospital_Patient[[#This Row],[Age]]&lt;=18,"Young",Hospital_Patient[[#This Row],[Age]]&lt;=36,"Adult",Hospital_Patient[[#This Row],[Age]]&lt;=60,"Middle Age",Hospital_Patient[[#This Row],[Age]]&gt;60,"Senior")</f>
        <v>Adult</v>
      </c>
      <c r="Q691" t="str" cm="1">
        <f t="array" ref="Q6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91">
        <f>YEAR(Hospital_Patient[[#This Row],[Discharge_Date]])</f>
        <v>2023</v>
      </c>
    </row>
    <row r="692" spans="1:18" x14ac:dyDescent="0.25">
      <c r="A692">
        <v>930</v>
      </c>
      <c r="B692">
        <v>65</v>
      </c>
      <c r="C692" t="s">
        <v>15</v>
      </c>
      <c r="D692" t="s">
        <v>59</v>
      </c>
      <c r="E692" t="s">
        <v>60</v>
      </c>
      <c r="F692" s="5">
        <v>44976</v>
      </c>
      <c r="G692" s="5">
        <v>45043</v>
      </c>
      <c r="H692" t="s">
        <v>75</v>
      </c>
      <c r="I692">
        <v>2023</v>
      </c>
      <c r="J692">
        <v>67</v>
      </c>
      <c r="K692" t="s">
        <v>19</v>
      </c>
      <c r="L692" t="s">
        <v>26</v>
      </c>
      <c r="M692">
        <v>4</v>
      </c>
      <c r="N692" t="s">
        <v>21</v>
      </c>
      <c r="O692">
        <v>4000</v>
      </c>
      <c r="P692" t="str" cm="1">
        <f t="array" ref="P692">_xlfn.IFS(Hospital_Patient[[#This Row],[Age]]&lt;=18,"Young",Hospital_Patient[[#This Row],[Age]]&lt;=36,"Adult",Hospital_Patient[[#This Row],[Age]]&lt;=60,"Middle Age",Hospital_Patient[[#This Row],[Age]]&gt;60,"Senior")</f>
        <v>Senior</v>
      </c>
      <c r="Q692" t="str" cm="1">
        <f t="array" ref="Q6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92">
        <f>YEAR(Hospital_Patient[[#This Row],[Discharge_Date]])</f>
        <v>2023</v>
      </c>
    </row>
    <row r="693" spans="1:18" hidden="1" x14ac:dyDescent="0.25">
      <c r="A693">
        <v>10</v>
      </c>
      <c r="B693">
        <v>25</v>
      </c>
      <c r="C693" t="s">
        <v>22</v>
      </c>
      <c r="D693" t="s">
        <v>47</v>
      </c>
      <c r="E693" t="s">
        <v>48</v>
      </c>
      <c r="F693" s="5">
        <v>45041</v>
      </c>
      <c r="G693" s="5">
        <v>45042</v>
      </c>
      <c r="H693" t="s">
        <v>18</v>
      </c>
      <c r="I693">
        <v>2023</v>
      </c>
      <c r="J693">
        <v>1</v>
      </c>
      <c r="K693" t="s">
        <v>19</v>
      </c>
      <c r="L693" t="s">
        <v>20</v>
      </c>
      <c r="M693">
        <v>5</v>
      </c>
      <c r="N693" t="s">
        <v>19</v>
      </c>
      <c r="O693">
        <v>100</v>
      </c>
      <c r="P693" t="str" cm="1">
        <f t="array" ref="P693">_xlfn.IFS(Hospital_Patient[[#This Row],[Age]]&lt;=18,"Young",Hospital_Patient[[#This Row],[Age]]&lt;=36,"Adult",Hospital_Patient[[#This Row],[Age]]&lt;=60,"Middle Age",Hospital_Patient[[#This Row],[Age]]&gt;60,"Senior")</f>
        <v>Adult</v>
      </c>
      <c r="Q693" t="str" cm="1">
        <f t="array" ref="Q6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93">
        <f>YEAR(Hospital_Patient[[#This Row],[Discharge_Date]])</f>
        <v>2023</v>
      </c>
    </row>
    <row r="694" spans="1:18" hidden="1" x14ac:dyDescent="0.25">
      <c r="A694">
        <v>69</v>
      </c>
      <c r="B694">
        <v>25</v>
      </c>
      <c r="C694" t="s">
        <v>22</v>
      </c>
      <c r="D694" t="s">
        <v>47</v>
      </c>
      <c r="E694" t="s">
        <v>48</v>
      </c>
      <c r="F694" s="5">
        <v>45036</v>
      </c>
      <c r="G694" s="5">
        <v>45041</v>
      </c>
      <c r="H694" t="s">
        <v>74</v>
      </c>
      <c r="I694">
        <v>2023</v>
      </c>
      <c r="J694">
        <v>5</v>
      </c>
      <c r="K694" t="s">
        <v>19</v>
      </c>
      <c r="L694" t="s">
        <v>20</v>
      </c>
      <c r="M694">
        <v>5</v>
      </c>
      <c r="N694" t="s">
        <v>19</v>
      </c>
      <c r="O694">
        <v>100</v>
      </c>
      <c r="P694" t="str" cm="1">
        <f t="array" ref="P694">_xlfn.IFS(Hospital_Patient[[#This Row],[Age]]&lt;=18,"Young",Hospital_Patient[[#This Row],[Age]]&lt;=36,"Adult",Hospital_Patient[[#This Row],[Age]]&lt;=60,"Middle Age",Hospital_Patient[[#This Row],[Age]]&gt;60,"Senior")</f>
        <v>Adult</v>
      </c>
      <c r="Q694" t="str" cm="1">
        <f t="array" ref="Q6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694">
        <f>YEAR(Hospital_Patient[[#This Row],[Discharge_Date]])</f>
        <v>2023</v>
      </c>
    </row>
    <row r="695" spans="1:18" hidden="1" x14ac:dyDescent="0.25">
      <c r="A695">
        <v>864</v>
      </c>
      <c r="B695">
        <v>40</v>
      </c>
      <c r="C695" t="s">
        <v>22</v>
      </c>
      <c r="D695" t="s">
        <v>42</v>
      </c>
      <c r="E695" t="s">
        <v>43</v>
      </c>
      <c r="F695" s="5">
        <v>44977</v>
      </c>
      <c r="G695" s="5">
        <v>45041</v>
      </c>
      <c r="H695" t="s">
        <v>71</v>
      </c>
      <c r="I695">
        <v>2023</v>
      </c>
      <c r="J695">
        <v>64</v>
      </c>
      <c r="K695" t="s">
        <v>19</v>
      </c>
      <c r="L695" t="s">
        <v>20</v>
      </c>
      <c r="M695">
        <v>4</v>
      </c>
      <c r="N695" t="s">
        <v>19</v>
      </c>
      <c r="O695">
        <v>3000</v>
      </c>
      <c r="P695" t="str" cm="1">
        <f t="array" ref="P695">_xlfn.IFS(Hospital_Patient[[#This Row],[Age]]&lt;=18,"Young",Hospital_Patient[[#This Row],[Age]]&lt;=36,"Adult",Hospital_Patient[[#This Row],[Age]]&lt;=60,"Middle Age",Hospital_Patient[[#This Row],[Age]]&gt;60,"Senior")</f>
        <v>Middle Age</v>
      </c>
      <c r="Q695" t="str" cm="1">
        <f t="array" ref="Q6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95">
        <f>YEAR(Hospital_Patient[[#This Row],[Discharge_Date]])</f>
        <v>2023</v>
      </c>
    </row>
    <row r="696" spans="1:18" hidden="1" x14ac:dyDescent="0.25">
      <c r="A696">
        <v>419</v>
      </c>
      <c r="B696">
        <v>68</v>
      </c>
      <c r="C696" t="s">
        <v>22</v>
      </c>
      <c r="D696" t="s">
        <v>36</v>
      </c>
      <c r="E696" t="s">
        <v>37</v>
      </c>
      <c r="F696" s="5">
        <v>45008</v>
      </c>
      <c r="G696" s="5">
        <v>45038</v>
      </c>
      <c r="H696" t="s">
        <v>38</v>
      </c>
      <c r="I696">
        <v>2023</v>
      </c>
      <c r="J696">
        <v>30</v>
      </c>
      <c r="K696" t="s">
        <v>19</v>
      </c>
      <c r="L696" t="s">
        <v>26</v>
      </c>
      <c r="M696">
        <v>4</v>
      </c>
      <c r="N696" t="s">
        <v>21</v>
      </c>
      <c r="O696">
        <v>1000</v>
      </c>
      <c r="P696" t="str" cm="1">
        <f t="array" ref="P696">_xlfn.IFS(Hospital_Patient[[#This Row],[Age]]&lt;=18,"Young",Hospital_Patient[[#This Row],[Age]]&lt;=36,"Adult",Hospital_Patient[[#This Row],[Age]]&lt;=60,"Middle Age",Hospital_Patient[[#This Row],[Age]]&gt;60,"Senior")</f>
        <v>Senior</v>
      </c>
      <c r="Q696" t="str" cm="1">
        <f t="array" ref="Q6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696">
        <f>YEAR(Hospital_Patient[[#This Row],[Discharge_Date]])</f>
        <v>2023</v>
      </c>
    </row>
    <row r="697" spans="1:18" hidden="1" x14ac:dyDescent="0.25">
      <c r="A697">
        <v>934</v>
      </c>
      <c r="B697">
        <v>78</v>
      </c>
      <c r="C697" t="s">
        <v>22</v>
      </c>
      <c r="D697" t="s">
        <v>30</v>
      </c>
      <c r="E697" t="s">
        <v>31</v>
      </c>
      <c r="F697" s="5">
        <v>44961</v>
      </c>
      <c r="G697" s="5">
        <v>45032</v>
      </c>
      <c r="H697" t="s">
        <v>35</v>
      </c>
      <c r="I697">
        <v>2023</v>
      </c>
      <c r="J697">
        <v>71</v>
      </c>
      <c r="K697" t="s">
        <v>19</v>
      </c>
      <c r="L697" t="s">
        <v>26</v>
      </c>
      <c r="M697">
        <v>2</v>
      </c>
      <c r="N697" t="s">
        <v>19</v>
      </c>
      <c r="O697">
        <v>10000</v>
      </c>
      <c r="P697" t="str" cm="1">
        <f t="array" ref="P697">_xlfn.IFS(Hospital_Patient[[#This Row],[Age]]&lt;=18,"Young",Hospital_Patient[[#This Row],[Age]]&lt;=36,"Adult",Hospital_Patient[[#This Row],[Age]]&lt;=60,"Middle Age",Hospital_Patient[[#This Row],[Age]]&gt;60,"Senior")</f>
        <v>Senior</v>
      </c>
      <c r="Q697" t="str" cm="1">
        <f t="array" ref="Q6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697">
        <f>YEAR(Hospital_Patient[[#This Row],[Discharge_Date]])</f>
        <v>2023</v>
      </c>
    </row>
    <row r="698" spans="1:18" hidden="1" x14ac:dyDescent="0.25">
      <c r="A698">
        <v>851</v>
      </c>
      <c r="B698">
        <v>28</v>
      </c>
      <c r="C698" t="s">
        <v>22</v>
      </c>
      <c r="D698" t="s">
        <v>47</v>
      </c>
      <c r="E698" t="s">
        <v>48</v>
      </c>
      <c r="F698" s="5">
        <v>44970</v>
      </c>
      <c r="G698" s="5">
        <v>45028</v>
      </c>
      <c r="H698" t="s">
        <v>41</v>
      </c>
      <c r="I698">
        <v>2023</v>
      </c>
      <c r="J698">
        <v>58</v>
      </c>
      <c r="K698" t="s">
        <v>19</v>
      </c>
      <c r="L698" t="s">
        <v>20</v>
      </c>
      <c r="M698">
        <v>5</v>
      </c>
      <c r="N698" t="s">
        <v>19</v>
      </c>
      <c r="O698">
        <v>100</v>
      </c>
      <c r="P698" t="str" cm="1">
        <f t="array" ref="P698">_xlfn.IFS(Hospital_Patient[[#This Row],[Age]]&lt;=18,"Young",Hospital_Patient[[#This Row],[Age]]&lt;=36,"Adult",Hospital_Patient[[#This Row],[Age]]&lt;=60,"Middle Age",Hospital_Patient[[#This Row],[Age]]&gt;60,"Senior")</f>
        <v>Adult</v>
      </c>
      <c r="Q698" t="str" cm="1">
        <f t="array" ref="Q6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698">
        <f>YEAR(Hospital_Patient[[#This Row],[Discharge_Date]])</f>
        <v>2023</v>
      </c>
    </row>
    <row r="699" spans="1:18" hidden="1" x14ac:dyDescent="0.25">
      <c r="A699">
        <v>110</v>
      </c>
      <c r="B699">
        <v>72</v>
      </c>
      <c r="C699" t="s">
        <v>22</v>
      </c>
      <c r="D699" t="s">
        <v>36</v>
      </c>
      <c r="E699" t="s">
        <v>37</v>
      </c>
      <c r="F699" s="5">
        <v>45018</v>
      </c>
      <c r="G699" s="5">
        <v>45027</v>
      </c>
      <c r="H699" t="s">
        <v>69</v>
      </c>
      <c r="I699">
        <v>2023</v>
      </c>
      <c r="J699">
        <v>9</v>
      </c>
      <c r="K699" t="s">
        <v>19</v>
      </c>
      <c r="L699" t="s">
        <v>26</v>
      </c>
      <c r="M699">
        <v>4</v>
      </c>
      <c r="N699" t="s">
        <v>21</v>
      </c>
      <c r="O699">
        <v>1000</v>
      </c>
      <c r="P699" t="str" cm="1">
        <f t="array" ref="P699">_xlfn.IFS(Hospital_Patient[[#This Row],[Age]]&lt;=18,"Young",Hospital_Patient[[#This Row],[Age]]&lt;=36,"Adult",Hospital_Patient[[#This Row],[Age]]&lt;=60,"Middle Age",Hospital_Patient[[#This Row],[Age]]&gt;60,"Senior")</f>
        <v>Senior</v>
      </c>
      <c r="Q699" t="str" cm="1">
        <f t="array" ref="Q6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699">
        <f>YEAR(Hospital_Patient[[#This Row],[Discharge_Date]])</f>
        <v>2023</v>
      </c>
    </row>
    <row r="700" spans="1:18" x14ac:dyDescent="0.25">
      <c r="A700">
        <v>479</v>
      </c>
      <c r="B700">
        <v>45</v>
      </c>
      <c r="C700" t="s">
        <v>15</v>
      </c>
      <c r="D700" t="s">
        <v>39</v>
      </c>
      <c r="E700" t="s">
        <v>40</v>
      </c>
      <c r="F700" s="5">
        <v>44987</v>
      </c>
      <c r="G700" s="5">
        <v>45023</v>
      </c>
      <c r="H700" t="s">
        <v>41</v>
      </c>
      <c r="I700">
        <v>2023</v>
      </c>
      <c r="J700">
        <v>36</v>
      </c>
      <c r="K700" t="s">
        <v>19</v>
      </c>
      <c r="L700" t="s">
        <v>20</v>
      </c>
      <c r="M700">
        <v>3</v>
      </c>
      <c r="N700" t="s">
        <v>19</v>
      </c>
      <c r="O700">
        <v>8000</v>
      </c>
      <c r="P700" t="str" cm="1">
        <f t="array" ref="P700">_xlfn.IFS(Hospital_Patient[[#This Row],[Age]]&lt;=18,"Young",Hospital_Patient[[#This Row],[Age]]&lt;=36,"Adult",Hospital_Patient[[#This Row],[Age]]&lt;=60,"Middle Age",Hospital_Patient[[#This Row],[Age]]&gt;60,"Senior")</f>
        <v>Middle Age</v>
      </c>
      <c r="Q700" t="str" cm="1">
        <f t="array" ref="Q7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00">
        <f>YEAR(Hospital_Patient[[#This Row],[Discharge_Date]])</f>
        <v>2023</v>
      </c>
    </row>
    <row r="701" spans="1:18" hidden="1" x14ac:dyDescent="0.25">
      <c r="A701">
        <v>130</v>
      </c>
      <c r="B701">
        <v>58</v>
      </c>
      <c r="C701" t="s">
        <v>22</v>
      </c>
      <c r="D701" t="s">
        <v>52</v>
      </c>
      <c r="E701" t="s">
        <v>53</v>
      </c>
      <c r="F701" s="5">
        <v>45005</v>
      </c>
      <c r="G701" s="5">
        <v>45022</v>
      </c>
      <c r="H701" t="s">
        <v>51</v>
      </c>
      <c r="I701">
        <v>2023</v>
      </c>
      <c r="J701">
        <v>17</v>
      </c>
      <c r="K701" t="s">
        <v>19</v>
      </c>
      <c r="L701" t="s">
        <v>20</v>
      </c>
      <c r="M701">
        <v>3</v>
      </c>
      <c r="N701" t="s">
        <v>21</v>
      </c>
      <c r="O701">
        <v>20000</v>
      </c>
      <c r="P701" t="str" cm="1">
        <f t="array" ref="P701">_xlfn.IFS(Hospital_Patient[[#This Row],[Age]]&lt;=18,"Young",Hospital_Patient[[#This Row],[Age]]&lt;=36,"Adult",Hospital_Patient[[#This Row],[Age]]&lt;=60,"Middle Age",Hospital_Patient[[#This Row],[Age]]&gt;60,"Senior")</f>
        <v>Middle Age</v>
      </c>
      <c r="Q701" t="str" cm="1">
        <f t="array" ref="Q7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01">
        <f>YEAR(Hospital_Patient[[#This Row],[Discharge_Date]])</f>
        <v>2023</v>
      </c>
    </row>
    <row r="702" spans="1:18" x14ac:dyDescent="0.25">
      <c r="A702">
        <v>894</v>
      </c>
      <c r="B702">
        <v>78</v>
      </c>
      <c r="C702" t="s">
        <v>15</v>
      </c>
      <c r="D702" t="s">
        <v>45</v>
      </c>
      <c r="E702" t="s">
        <v>46</v>
      </c>
      <c r="F702" s="5">
        <v>44954</v>
      </c>
      <c r="G702" s="5">
        <v>45022</v>
      </c>
      <c r="H702" t="s">
        <v>18</v>
      </c>
      <c r="I702">
        <v>2023</v>
      </c>
      <c r="J702">
        <v>68</v>
      </c>
      <c r="K702" t="s">
        <v>21</v>
      </c>
      <c r="L702" t="s">
        <v>26</v>
      </c>
      <c r="M702">
        <v>2</v>
      </c>
      <c r="N702" t="s">
        <v>19</v>
      </c>
      <c r="O702">
        <v>18000</v>
      </c>
      <c r="P702" t="str" cm="1">
        <f t="array" ref="P702">_xlfn.IFS(Hospital_Patient[[#This Row],[Age]]&lt;=18,"Young",Hospital_Patient[[#This Row],[Age]]&lt;=36,"Adult",Hospital_Patient[[#This Row],[Age]]&lt;=60,"Middle Age",Hospital_Patient[[#This Row],[Age]]&gt;60,"Senior")</f>
        <v>Senior</v>
      </c>
      <c r="Q702" t="str" cm="1">
        <f t="array" ref="Q7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02">
        <f>YEAR(Hospital_Patient[[#This Row],[Discharge_Date]])</f>
        <v>2023</v>
      </c>
    </row>
    <row r="703" spans="1:18" hidden="1" x14ac:dyDescent="0.25">
      <c r="A703">
        <v>228</v>
      </c>
      <c r="B703">
        <v>72</v>
      </c>
      <c r="C703" t="s">
        <v>22</v>
      </c>
      <c r="D703" t="s">
        <v>36</v>
      </c>
      <c r="E703" t="s">
        <v>37</v>
      </c>
      <c r="F703" s="5">
        <v>45004</v>
      </c>
      <c r="G703" s="5">
        <v>45021</v>
      </c>
      <c r="H703" t="s">
        <v>38</v>
      </c>
      <c r="I703">
        <v>2023</v>
      </c>
      <c r="J703">
        <v>17</v>
      </c>
      <c r="K703" t="s">
        <v>19</v>
      </c>
      <c r="L703" t="s">
        <v>26</v>
      </c>
      <c r="M703">
        <v>4</v>
      </c>
      <c r="N703" t="s">
        <v>19</v>
      </c>
      <c r="O703">
        <v>1000</v>
      </c>
      <c r="P703" t="str" cm="1">
        <f t="array" ref="P703">_xlfn.IFS(Hospital_Patient[[#This Row],[Age]]&lt;=18,"Young",Hospital_Patient[[#This Row],[Age]]&lt;=36,"Adult",Hospital_Patient[[#This Row],[Age]]&lt;=60,"Middle Age",Hospital_Patient[[#This Row],[Age]]&gt;60,"Senior")</f>
        <v>Senior</v>
      </c>
      <c r="Q703" t="str" cm="1">
        <f t="array" ref="Q7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03">
        <f>YEAR(Hospital_Patient[[#This Row],[Discharge_Date]])</f>
        <v>2023</v>
      </c>
    </row>
    <row r="704" spans="1:18" x14ac:dyDescent="0.25">
      <c r="A704">
        <v>210</v>
      </c>
      <c r="B704">
        <v>30</v>
      </c>
      <c r="C704" t="s">
        <v>15</v>
      </c>
      <c r="D704" t="s">
        <v>27</v>
      </c>
      <c r="E704" t="s">
        <v>28</v>
      </c>
      <c r="F704" s="5">
        <v>45003</v>
      </c>
      <c r="G704" s="5">
        <v>45018</v>
      </c>
      <c r="H704" t="s">
        <v>29</v>
      </c>
      <c r="I704">
        <v>2023</v>
      </c>
      <c r="J704">
        <v>15</v>
      </c>
      <c r="K704" t="s">
        <v>19</v>
      </c>
      <c r="L704" t="s">
        <v>20</v>
      </c>
      <c r="M704">
        <v>5</v>
      </c>
      <c r="N704" t="s">
        <v>21</v>
      </c>
      <c r="O704">
        <v>500</v>
      </c>
      <c r="P704" t="str" cm="1">
        <f t="array" ref="P704">_xlfn.IFS(Hospital_Patient[[#This Row],[Age]]&lt;=18,"Young",Hospital_Patient[[#This Row],[Age]]&lt;=36,"Adult",Hospital_Patient[[#This Row],[Age]]&lt;=60,"Middle Age",Hospital_Patient[[#This Row],[Age]]&gt;60,"Senior")</f>
        <v>Adult</v>
      </c>
      <c r="Q704" t="str" cm="1">
        <f t="array" ref="Q7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04">
        <f>YEAR(Hospital_Patient[[#This Row],[Discharge_Date]])</f>
        <v>2023</v>
      </c>
    </row>
    <row r="705" spans="1:18" x14ac:dyDescent="0.25">
      <c r="A705">
        <v>262</v>
      </c>
      <c r="B705">
        <v>52</v>
      </c>
      <c r="C705" t="s">
        <v>15</v>
      </c>
      <c r="D705" t="s">
        <v>49</v>
      </c>
      <c r="E705" t="s">
        <v>50</v>
      </c>
      <c r="F705" s="5">
        <v>44999</v>
      </c>
      <c r="G705" s="5">
        <v>45018</v>
      </c>
      <c r="H705" t="s">
        <v>66</v>
      </c>
      <c r="I705">
        <v>2023</v>
      </c>
      <c r="J705">
        <v>19</v>
      </c>
      <c r="K705" t="s">
        <v>19</v>
      </c>
      <c r="L705" t="s">
        <v>26</v>
      </c>
      <c r="M705">
        <v>4</v>
      </c>
      <c r="N705" t="s">
        <v>19</v>
      </c>
      <c r="O705">
        <v>800</v>
      </c>
      <c r="P705" t="str" cm="1">
        <f t="array" ref="P705">_xlfn.IFS(Hospital_Patient[[#This Row],[Age]]&lt;=18,"Young",Hospital_Patient[[#This Row],[Age]]&lt;=36,"Adult",Hospital_Patient[[#This Row],[Age]]&lt;=60,"Middle Age",Hospital_Patient[[#This Row],[Age]]&gt;60,"Senior")</f>
        <v>Middle Age</v>
      </c>
      <c r="Q705" t="str" cm="1">
        <f t="array" ref="Q7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05">
        <f>YEAR(Hospital_Patient[[#This Row],[Discharge_Date]])</f>
        <v>2023</v>
      </c>
    </row>
    <row r="706" spans="1:18" x14ac:dyDescent="0.25">
      <c r="A706">
        <v>762</v>
      </c>
      <c r="B706">
        <v>75</v>
      </c>
      <c r="C706" t="s">
        <v>15</v>
      </c>
      <c r="D706" t="s">
        <v>45</v>
      </c>
      <c r="E706" t="s">
        <v>46</v>
      </c>
      <c r="F706" s="5">
        <v>44957</v>
      </c>
      <c r="G706" s="5">
        <v>45016</v>
      </c>
      <c r="H706" t="s">
        <v>69</v>
      </c>
      <c r="I706">
        <v>2023</v>
      </c>
      <c r="J706">
        <v>59</v>
      </c>
      <c r="K706" t="s">
        <v>21</v>
      </c>
      <c r="L706" t="s">
        <v>26</v>
      </c>
      <c r="M706">
        <v>2</v>
      </c>
      <c r="N706" t="s">
        <v>19</v>
      </c>
      <c r="O706">
        <v>18000</v>
      </c>
      <c r="P706" t="str" cm="1">
        <f t="array" ref="P706">_xlfn.IFS(Hospital_Patient[[#This Row],[Age]]&lt;=18,"Young",Hospital_Patient[[#This Row],[Age]]&lt;=36,"Adult",Hospital_Patient[[#This Row],[Age]]&lt;=60,"Middle Age",Hospital_Patient[[#This Row],[Age]]&gt;60,"Senior")</f>
        <v>Senior</v>
      </c>
      <c r="Q706" t="str" cm="1">
        <f t="array" ref="Q7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06">
        <f>YEAR(Hospital_Patient[[#This Row],[Discharge_Date]])</f>
        <v>2023</v>
      </c>
    </row>
    <row r="707" spans="1:18" hidden="1" x14ac:dyDescent="0.25">
      <c r="A707">
        <v>647</v>
      </c>
      <c r="B707">
        <v>67</v>
      </c>
      <c r="C707" t="s">
        <v>22</v>
      </c>
      <c r="D707" t="s">
        <v>52</v>
      </c>
      <c r="E707" t="s">
        <v>53</v>
      </c>
      <c r="F707" s="5">
        <v>44963</v>
      </c>
      <c r="G707" s="5">
        <v>45015</v>
      </c>
      <c r="H707" t="s">
        <v>41</v>
      </c>
      <c r="I707">
        <v>2023</v>
      </c>
      <c r="J707">
        <v>52</v>
      </c>
      <c r="K707" t="s">
        <v>19</v>
      </c>
      <c r="L707" t="s">
        <v>20</v>
      </c>
      <c r="M707">
        <v>3</v>
      </c>
      <c r="N707" t="s">
        <v>19</v>
      </c>
      <c r="O707">
        <v>20000</v>
      </c>
      <c r="P707" t="str" cm="1">
        <f t="array" ref="P707">_xlfn.IFS(Hospital_Patient[[#This Row],[Age]]&lt;=18,"Young",Hospital_Patient[[#This Row],[Age]]&lt;=36,"Adult",Hospital_Patient[[#This Row],[Age]]&lt;=60,"Middle Age",Hospital_Patient[[#This Row],[Age]]&gt;60,"Senior")</f>
        <v>Senior</v>
      </c>
      <c r="Q707" t="str" cm="1">
        <f t="array" ref="Q7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07">
        <f>YEAR(Hospital_Patient[[#This Row],[Discharge_Date]])</f>
        <v>2023</v>
      </c>
    </row>
    <row r="708" spans="1:18" x14ac:dyDescent="0.25">
      <c r="A708">
        <v>880</v>
      </c>
      <c r="B708">
        <v>75</v>
      </c>
      <c r="C708" t="s">
        <v>15</v>
      </c>
      <c r="D708" t="s">
        <v>45</v>
      </c>
      <c r="E708" t="s">
        <v>46</v>
      </c>
      <c r="F708" s="5">
        <v>44948</v>
      </c>
      <c r="G708" s="5">
        <v>45015</v>
      </c>
      <c r="H708" t="s">
        <v>66</v>
      </c>
      <c r="I708">
        <v>2023</v>
      </c>
      <c r="J708">
        <v>67</v>
      </c>
      <c r="K708" t="s">
        <v>21</v>
      </c>
      <c r="L708" t="s">
        <v>26</v>
      </c>
      <c r="M708">
        <v>2</v>
      </c>
      <c r="N708" t="s">
        <v>21</v>
      </c>
      <c r="O708">
        <v>18000</v>
      </c>
      <c r="P708" t="str" cm="1">
        <f t="array" ref="P708">_xlfn.IFS(Hospital_Patient[[#This Row],[Age]]&lt;=18,"Young",Hospital_Patient[[#This Row],[Age]]&lt;=36,"Adult",Hospital_Patient[[#This Row],[Age]]&lt;=60,"Middle Age",Hospital_Patient[[#This Row],[Age]]&gt;60,"Senior")</f>
        <v>Senior</v>
      </c>
      <c r="Q708" t="str" cm="1">
        <f t="array" ref="Q7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08">
        <f>YEAR(Hospital_Patient[[#This Row],[Discharge_Date]])</f>
        <v>2023</v>
      </c>
    </row>
    <row r="709" spans="1:18" hidden="1" x14ac:dyDescent="0.25">
      <c r="A709">
        <v>693</v>
      </c>
      <c r="B709">
        <v>55</v>
      </c>
      <c r="C709" t="s">
        <v>22</v>
      </c>
      <c r="D709" t="s">
        <v>57</v>
      </c>
      <c r="E709" t="s">
        <v>58</v>
      </c>
      <c r="F709" s="5">
        <v>44964</v>
      </c>
      <c r="G709" s="5">
        <v>45014</v>
      </c>
      <c r="H709" t="s">
        <v>77</v>
      </c>
      <c r="I709">
        <v>2023</v>
      </c>
      <c r="J709">
        <v>50</v>
      </c>
      <c r="K709" t="s">
        <v>19</v>
      </c>
      <c r="L709" t="s">
        <v>20</v>
      </c>
      <c r="M709">
        <v>3</v>
      </c>
      <c r="N709" t="s">
        <v>19</v>
      </c>
      <c r="O709">
        <v>6000</v>
      </c>
      <c r="P709" t="str" cm="1">
        <f t="array" ref="P709">_xlfn.IFS(Hospital_Patient[[#This Row],[Age]]&lt;=18,"Young",Hospital_Patient[[#This Row],[Age]]&lt;=36,"Adult",Hospital_Patient[[#This Row],[Age]]&lt;=60,"Middle Age",Hospital_Patient[[#This Row],[Age]]&gt;60,"Senior")</f>
        <v>Middle Age</v>
      </c>
      <c r="Q709" t="str" cm="1">
        <f t="array" ref="Q7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09">
        <f>YEAR(Hospital_Patient[[#This Row],[Discharge_Date]])</f>
        <v>2023</v>
      </c>
    </row>
    <row r="710" spans="1:18" x14ac:dyDescent="0.25">
      <c r="A710">
        <v>804</v>
      </c>
      <c r="B710">
        <v>45</v>
      </c>
      <c r="C710" t="s">
        <v>15</v>
      </c>
      <c r="D710" t="s">
        <v>39</v>
      </c>
      <c r="E710" t="s">
        <v>40</v>
      </c>
      <c r="F710" s="5">
        <v>44951</v>
      </c>
      <c r="G710" s="5">
        <v>45011</v>
      </c>
      <c r="H710" t="s">
        <v>41</v>
      </c>
      <c r="I710">
        <v>2023</v>
      </c>
      <c r="J710">
        <v>60</v>
      </c>
      <c r="K710" t="s">
        <v>19</v>
      </c>
      <c r="L710" t="s">
        <v>20</v>
      </c>
      <c r="M710">
        <v>3</v>
      </c>
      <c r="N710" t="s">
        <v>19</v>
      </c>
      <c r="O710">
        <v>8000</v>
      </c>
      <c r="P710" t="str" cm="1">
        <f t="array" ref="P710">_xlfn.IFS(Hospital_Patient[[#This Row],[Age]]&lt;=18,"Young",Hospital_Patient[[#This Row],[Age]]&lt;=36,"Adult",Hospital_Patient[[#This Row],[Age]]&lt;=60,"Middle Age",Hospital_Patient[[#This Row],[Age]]&gt;60,"Senior")</f>
        <v>Middle Age</v>
      </c>
      <c r="Q710" t="str" cm="1">
        <f t="array" ref="Q7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10">
        <f>YEAR(Hospital_Patient[[#This Row],[Discharge_Date]])</f>
        <v>2023</v>
      </c>
    </row>
    <row r="711" spans="1:18" hidden="1" x14ac:dyDescent="0.25">
      <c r="A711">
        <v>189</v>
      </c>
      <c r="B711">
        <v>58</v>
      </c>
      <c r="C711" t="s">
        <v>22</v>
      </c>
      <c r="D711" t="s">
        <v>52</v>
      </c>
      <c r="E711" t="s">
        <v>53</v>
      </c>
      <c r="F711" s="5">
        <v>44986</v>
      </c>
      <c r="G711" s="5">
        <v>45007</v>
      </c>
      <c r="H711" t="s">
        <v>51</v>
      </c>
      <c r="I711">
        <v>2023</v>
      </c>
      <c r="J711">
        <v>21</v>
      </c>
      <c r="K711" t="s">
        <v>19</v>
      </c>
      <c r="L711" t="s">
        <v>20</v>
      </c>
      <c r="M711">
        <v>3</v>
      </c>
      <c r="N711" t="s">
        <v>21</v>
      </c>
      <c r="O711">
        <v>20000</v>
      </c>
      <c r="P711" t="str" cm="1">
        <f t="array" ref="P711">_xlfn.IFS(Hospital_Patient[[#This Row],[Age]]&lt;=18,"Young",Hospital_Patient[[#This Row],[Age]]&lt;=36,"Adult",Hospital_Patient[[#This Row],[Age]]&lt;=60,"Middle Age",Hospital_Patient[[#This Row],[Age]]&gt;60,"Senior")</f>
        <v>Middle Age</v>
      </c>
      <c r="Q711" t="str" cm="1">
        <f t="array" ref="Q7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11">
        <f>YEAR(Hospital_Patient[[#This Row],[Discharge_Date]])</f>
        <v>2023</v>
      </c>
    </row>
    <row r="712" spans="1:18" x14ac:dyDescent="0.25">
      <c r="A712">
        <v>184</v>
      </c>
      <c r="B712">
        <v>45</v>
      </c>
      <c r="C712" t="s">
        <v>15</v>
      </c>
      <c r="D712" t="s">
        <v>39</v>
      </c>
      <c r="E712" t="s">
        <v>40</v>
      </c>
      <c r="F712" s="5">
        <v>44990</v>
      </c>
      <c r="G712" s="5">
        <v>45006</v>
      </c>
      <c r="H712" t="s">
        <v>41</v>
      </c>
      <c r="I712">
        <v>2023</v>
      </c>
      <c r="J712">
        <v>16</v>
      </c>
      <c r="K712" t="s">
        <v>19</v>
      </c>
      <c r="L712" t="s">
        <v>20</v>
      </c>
      <c r="M712">
        <v>3</v>
      </c>
      <c r="N712" t="s">
        <v>19</v>
      </c>
      <c r="O712">
        <v>8000</v>
      </c>
      <c r="P712" t="str" cm="1">
        <f t="array" ref="P712">_xlfn.IFS(Hospital_Patient[[#This Row],[Age]]&lt;=18,"Young",Hospital_Patient[[#This Row],[Age]]&lt;=36,"Adult",Hospital_Patient[[#This Row],[Age]]&lt;=60,"Middle Age",Hospital_Patient[[#This Row],[Age]]&gt;60,"Senior")</f>
        <v>Middle Age</v>
      </c>
      <c r="Q712" t="str" cm="1">
        <f t="array" ref="Q7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12">
        <f>YEAR(Hospital_Patient[[#This Row],[Discharge_Date]])</f>
        <v>2023</v>
      </c>
    </row>
    <row r="713" spans="1:18" x14ac:dyDescent="0.25">
      <c r="A713">
        <v>612</v>
      </c>
      <c r="B713">
        <v>60</v>
      </c>
      <c r="C713" t="s">
        <v>15</v>
      </c>
      <c r="D713" t="s">
        <v>39</v>
      </c>
      <c r="E713" t="s">
        <v>40</v>
      </c>
      <c r="F713" s="5">
        <v>44959</v>
      </c>
      <c r="G713" s="5">
        <v>45006</v>
      </c>
      <c r="H713" t="s">
        <v>72</v>
      </c>
      <c r="I713">
        <v>2023</v>
      </c>
      <c r="J713">
        <v>47</v>
      </c>
      <c r="K713" t="s">
        <v>21</v>
      </c>
      <c r="L713" t="s">
        <v>20</v>
      </c>
      <c r="M713">
        <v>3</v>
      </c>
      <c r="N713" t="s">
        <v>19</v>
      </c>
      <c r="O713">
        <v>8000</v>
      </c>
      <c r="P713" t="str" cm="1">
        <f t="array" ref="P713">_xlfn.IFS(Hospital_Patient[[#This Row],[Age]]&lt;=18,"Young",Hospital_Patient[[#This Row],[Age]]&lt;=36,"Adult",Hospital_Patient[[#This Row],[Age]]&lt;=60,"Middle Age",Hospital_Patient[[#This Row],[Age]]&gt;60,"Senior")</f>
        <v>Middle Age</v>
      </c>
      <c r="Q713" t="str" cm="1">
        <f t="array" ref="Q7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13">
        <f>YEAR(Hospital_Patient[[#This Row],[Discharge_Date]])</f>
        <v>2023</v>
      </c>
    </row>
    <row r="714" spans="1:18" x14ac:dyDescent="0.25">
      <c r="A714">
        <v>950</v>
      </c>
      <c r="B714">
        <v>55</v>
      </c>
      <c r="C714" t="s">
        <v>15</v>
      </c>
      <c r="D714" t="s">
        <v>33</v>
      </c>
      <c r="E714" t="s">
        <v>34</v>
      </c>
      <c r="F714" s="5">
        <v>44932</v>
      </c>
      <c r="G714" s="5">
        <v>45006</v>
      </c>
      <c r="H714" t="s">
        <v>64</v>
      </c>
      <c r="I714">
        <v>2023</v>
      </c>
      <c r="J714">
        <v>74</v>
      </c>
      <c r="K714" t="s">
        <v>19</v>
      </c>
      <c r="L714" t="s">
        <v>20</v>
      </c>
      <c r="M714">
        <v>4</v>
      </c>
      <c r="N714" t="s">
        <v>19</v>
      </c>
      <c r="O714">
        <v>25000</v>
      </c>
      <c r="P714" t="str" cm="1">
        <f t="array" ref="P714">_xlfn.IFS(Hospital_Patient[[#This Row],[Age]]&lt;=18,"Young",Hospital_Patient[[#This Row],[Age]]&lt;=36,"Adult",Hospital_Patient[[#This Row],[Age]]&lt;=60,"Middle Age",Hospital_Patient[[#This Row],[Age]]&gt;60,"Senior")</f>
        <v>Middle Age</v>
      </c>
      <c r="Q714" t="str" cm="1">
        <f t="array" ref="Q7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14">
        <f>YEAR(Hospital_Patient[[#This Row],[Discharge_Date]])</f>
        <v>2023</v>
      </c>
    </row>
    <row r="715" spans="1:18" x14ac:dyDescent="0.25">
      <c r="A715">
        <v>461</v>
      </c>
      <c r="B715">
        <v>35</v>
      </c>
      <c r="C715" t="s">
        <v>15</v>
      </c>
      <c r="D715" t="s">
        <v>27</v>
      </c>
      <c r="E715" t="s">
        <v>28</v>
      </c>
      <c r="F715" s="5">
        <v>44972</v>
      </c>
      <c r="G715" s="5">
        <v>45004</v>
      </c>
      <c r="H715" t="s">
        <v>70</v>
      </c>
      <c r="I715">
        <v>2023</v>
      </c>
      <c r="J715">
        <v>32</v>
      </c>
      <c r="K715" t="s">
        <v>21</v>
      </c>
      <c r="L715" t="s">
        <v>20</v>
      </c>
      <c r="M715">
        <v>5</v>
      </c>
      <c r="N715" t="s">
        <v>19</v>
      </c>
      <c r="O715">
        <v>500</v>
      </c>
      <c r="P715" t="str" cm="1">
        <f t="array" ref="P715">_xlfn.IFS(Hospital_Patient[[#This Row],[Age]]&lt;=18,"Young",Hospital_Patient[[#This Row],[Age]]&lt;=36,"Adult",Hospital_Patient[[#This Row],[Age]]&lt;=60,"Middle Age",Hospital_Patient[[#This Row],[Age]]&gt;60,"Senior")</f>
        <v>Adult</v>
      </c>
      <c r="Q715" t="str" cm="1">
        <f t="array" ref="Q7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15">
        <f>YEAR(Hospital_Patient[[#This Row],[Discharge_Date]])</f>
        <v>2023</v>
      </c>
    </row>
    <row r="716" spans="1:18" hidden="1" x14ac:dyDescent="0.25">
      <c r="A716">
        <v>169</v>
      </c>
      <c r="B716">
        <v>72</v>
      </c>
      <c r="C716" t="s">
        <v>22</v>
      </c>
      <c r="D716" t="s">
        <v>36</v>
      </c>
      <c r="E716" t="s">
        <v>37</v>
      </c>
      <c r="F716" s="5">
        <v>44989</v>
      </c>
      <c r="G716" s="5">
        <v>45002</v>
      </c>
      <c r="H716" t="s">
        <v>18</v>
      </c>
      <c r="I716">
        <v>2023</v>
      </c>
      <c r="J716">
        <v>13</v>
      </c>
      <c r="K716" t="s">
        <v>19</v>
      </c>
      <c r="L716" t="s">
        <v>26</v>
      </c>
      <c r="M716">
        <v>4</v>
      </c>
      <c r="N716" t="s">
        <v>19</v>
      </c>
      <c r="O716">
        <v>1000</v>
      </c>
      <c r="P716" t="str" cm="1">
        <f t="array" ref="P716">_xlfn.IFS(Hospital_Patient[[#This Row],[Age]]&lt;=18,"Young",Hospital_Patient[[#This Row],[Age]]&lt;=36,"Adult",Hospital_Patient[[#This Row],[Age]]&lt;=60,"Middle Age",Hospital_Patient[[#This Row],[Age]]&gt;60,"Senior")</f>
        <v>Senior</v>
      </c>
      <c r="Q716" t="str" cm="1">
        <f t="array" ref="Q7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16">
        <f>YEAR(Hospital_Patient[[#This Row],[Discharge_Date]])</f>
        <v>2023</v>
      </c>
    </row>
    <row r="717" spans="1:18" x14ac:dyDescent="0.25">
      <c r="A717">
        <v>939</v>
      </c>
      <c r="B717">
        <v>75</v>
      </c>
      <c r="C717" t="s">
        <v>15</v>
      </c>
      <c r="D717" t="s">
        <v>45</v>
      </c>
      <c r="E717" t="s">
        <v>46</v>
      </c>
      <c r="F717" s="5">
        <v>44931</v>
      </c>
      <c r="G717" s="5">
        <v>45002</v>
      </c>
      <c r="H717" t="s">
        <v>65</v>
      </c>
      <c r="I717">
        <v>2023</v>
      </c>
      <c r="J717">
        <v>71</v>
      </c>
      <c r="K717" t="s">
        <v>21</v>
      </c>
      <c r="L717" t="s">
        <v>26</v>
      </c>
      <c r="M717">
        <v>2</v>
      </c>
      <c r="N717" t="s">
        <v>21</v>
      </c>
      <c r="O717">
        <v>18000</v>
      </c>
      <c r="P717" t="str" cm="1">
        <f t="array" ref="P717">_xlfn.IFS(Hospital_Patient[[#This Row],[Age]]&lt;=18,"Young",Hospital_Patient[[#This Row],[Age]]&lt;=36,"Adult",Hospital_Patient[[#This Row],[Age]]&lt;=60,"Middle Age",Hospital_Patient[[#This Row],[Age]]&gt;60,"Senior")</f>
        <v>Senior</v>
      </c>
      <c r="Q717" t="str" cm="1">
        <f t="array" ref="Q7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17">
        <f>YEAR(Hospital_Patient[[#This Row],[Discharge_Date]])</f>
        <v>2023</v>
      </c>
    </row>
    <row r="718" spans="1:18" x14ac:dyDescent="0.25">
      <c r="A718">
        <v>878</v>
      </c>
      <c r="B718">
        <v>60</v>
      </c>
      <c r="C718" t="s">
        <v>15</v>
      </c>
      <c r="D718" t="s">
        <v>39</v>
      </c>
      <c r="E718" t="s">
        <v>40</v>
      </c>
      <c r="F718" s="5">
        <v>44936</v>
      </c>
      <c r="G718" s="5">
        <v>45001</v>
      </c>
      <c r="H718" t="s">
        <v>72</v>
      </c>
      <c r="I718">
        <v>2023</v>
      </c>
      <c r="J718">
        <v>65</v>
      </c>
      <c r="K718" t="s">
        <v>21</v>
      </c>
      <c r="L718" t="s">
        <v>20</v>
      </c>
      <c r="M718">
        <v>3</v>
      </c>
      <c r="N718" t="s">
        <v>21</v>
      </c>
      <c r="O718">
        <v>8000</v>
      </c>
      <c r="P718" t="str" cm="1">
        <f t="array" ref="P718">_xlfn.IFS(Hospital_Patient[[#This Row],[Age]]&lt;=18,"Young",Hospital_Patient[[#This Row],[Age]]&lt;=36,"Adult",Hospital_Patient[[#This Row],[Age]]&lt;=60,"Middle Age",Hospital_Patient[[#This Row],[Age]]&gt;60,"Senior")</f>
        <v>Middle Age</v>
      </c>
      <c r="Q718" t="str" cm="1">
        <f t="array" ref="Q7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18">
        <f>YEAR(Hospital_Patient[[#This Row],[Discharge_Date]])</f>
        <v>2023</v>
      </c>
    </row>
    <row r="719" spans="1:18" x14ac:dyDescent="0.25">
      <c r="A719">
        <v>338</v>
      </c>
      <c r="B719">
        <v>32</v>
      </c>
      <c r="C719" t="s">
        <v>15</v>
      </c>
      <c r="D719" t="s">
        <v>54</v>
      </c>
      <c r="E719" t="s">
        <v>55</v>
      </c>
      <c r="F719" s="5">
        <v>44975</v>
      </c>
      <c r="G719" s="5">
        <v>45000</v>
      </c>
      <c r="H719" t="s">
        <v>56</v>
      </c>
      <c r="I719">
        <v>2023</v>
      </c>
      <c r="J719">
        <v>25</v>
      </c>
      <c r="K719" t="s">
        <v>19</v>
      </c>
      <c r="L719" t="s">
        <v>20</v>
      </c>
      <c r="M719">
        <v>4</v>
      </c>
      <c r="N719" t="s">
        <v>21</v>
      </c>
      <c r="O719">
        <v>12000</v>
      </c>
      <c r="P719" t="str" cm="1">
        <f t="array" ref="P719">_xlfn.IFS(Hospital_Patient[[#This Row],[Age]]&lt;=18,"Young",Hospital_Patient[[#This Row],[Age]]&lt;=36,"Adult",Hospital_Patient[[#This Row],[Age]]&lt;=60,"Middle Age",Hospital_Patient[[#This Row],[Age]]&gt;60,"Senior")</f>
        <v>Adult</v>
      </c>
      <c r="Q719" t="str" cm="1">
        <f t="array" ref="Q7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19">
        <f>YEAR(Hospital_Patient[[#This Row],[Discharge_Date]])</f>
        <v>2023</v>
      </c>
    </row>
    <row r="720" spans="1:18" hidden="1" x14ac:dyDescent="0.25">
      <c r="A720">
        <v>2</v>
      </c>
      <c r="B720">
        <v>60</v>
      </c>
      <c r="C720" t="s">
        <v>22</v>
      </c>
      <c r="D720" t="s">
        <v>23</v>
      </c>
      <c r="E720" t="s">
        <v>24</v>
      </c>
      <c r="F720" s="5">
        <v>44996</v>
      </c>
      <c r="G720" s="5">
        <v>44999</v>
      </c>
      <c r="H720" t="s">
        <v>25</v>
      </c>
      <c r="I720">
        <v>2023</v>
      </c>
      <c r="J720">
        <v>3</v>
      </c>
      <c r="K720" t="s">
        <v>21</v>
      </c>
      <c r="L720" t="s">
        <v>26</v>
      </c>
      <c r="M720">
        <v>3</v>
      </c>
      <c r="N720" t="s">
        <v>19</v>
      </c>
      <c r="O720">
        <v>2000</v>
      </c>
      <c r="P720" t="str" cm="1">
        <f t="array" ref="P720">_xlfn.IFS(Hospital_Patient[[#This Row],[Age]]&lt;=18,"Young",Hospital_Patient[[#This Row],[Age]]&lt;=36,"Adult",Hospital_Patient[[#This Row],[Age]]&lt;=60,"Middle Age",Hospital_Patient[[#This Row],[Age]]&gt;60,"Senior")</f>
        <v>Middle Age</v>
      </c>
      <c r="Q720" t="str" cm="1">
        <f t="array" ref="Q7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720">
        <f>YEAR(Hospital_Patient[[#This Row],[Discharge_Date]])</f>
        <v>2023</v>
      </c>
    </row>
    <row r="721" spans="1:18" x14ac:dyDescent="0.25">
      <c r="A721">
        <v>662</v>
      </c>
      <c r="B721">
        <v>32</v>
      </c>
      <c r="C721" t="s">
        <v>15</v>
      </c>
      <c r="D721" t="s">
        <v>54</v>
      </c>
      <c r="E721" t="s">
        <v>55</v>
      </c>
      <c r="F721" s="5">
        <v>44950</v>
      </c>
      <c r="G721" s="5">
        <v>44997</v>
      </c>
      <c r="H721" t="s">
        <v>74</v>
      </c>
      <c r="I721">
        <v>2023</v>
      </c>
      <c r="J721">
        <v>47</v>
      </c>
      <c r="K721" t="s">
        <v>19</v>
      </c>
      <c r="L721" t="s">
        <v>20</v>
      </c>
      <c r="M721">
        <v>4</v>
      </c>
      <c r="N721" t="s">
        <v>19</v>
      </c>
      <c r="O721">
        <v>12000</v>
      </c>
      <c r="P721" t="str" cm="1">
        <f t="array" ref="P721">_xlfn.IFS(Hospital_Patient[[#This Row],[Age]]&lt;=18,"Young",Hospital_Patient[[#This Row],[Age]]&lt;=36,"Adult",Hospital_Patient[[#This Row],[Age]]&lt;=60,"Middle Age",Hospital_Patient[[#This Row],[Age]]&gt;60,"Senior")</f>
        <v>Adult</v>
      </c>
      <c r="Q721" t="str" cm="1">
        <f t="array" ref="Q7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21">
        <f>YEAR(Hospital_Patient[[#This Row],[Discharge_Date]])</f>
        <v>2023</v>
      </c>
    </row>
    <row r="722" spans="1:18" hidden="1" x14ac:dyDescent="0.25">
      <c r="A722">
        <v>573</v>
      </c>
      <c r="B722">
        <v>58</v>
      </c>
      <c r="C722" t="s">
        <v>22</v>
      </c>
      <c r="D722" t="s">
        <v>52</v>
      </c>
      <c r="E722" t="s">
        <v>53</v>
      </c>
      <c r="F722" s="5">
        <v>44947</v>
      </c>
      <c r="G722" s="5">
        <v>44994</v>
      </c>
      <c r="H722" t="s">
        <v>29</v>
      </c>
      <c r="I722">
        <v>2023</v>
      </c>
      <c r="J722">
        <v>47</v>
      </c>
      <c r="K722" t="s">
        <v>19</v>
      </c>
      <c r="L722" t="s">
        <v>20</v>
      </c>
      <c r="M722">
        <v>3</v>
      </c>
      <c r="N722" t="s">
        <v>19</v>
      </c>
      <c r="O722">
        <v>20000</v>
      </c>
      <c r="P722" t="str" cm="1">
        <f t="array" ref="P722">_xlfn.IFS(Hospital_Patient[[#This Row],[Age]]&lt;=18,"Young",Hospital_Patient[[#This Row],[Age]]&lt;=36,"Adult",Hospital_Patient[[#This Row],[Age]]&lt;=60,"Middle Age",Hospital_Patient[[#This Row],[Age]]&gt;60,"Senior")</f>
        <v>Middle Age</v>
      </c>
      <c r="Q722" t="str" cm="1">
        <f t="array" ref="Q7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22">
        <f>YEAR(Hospital_Patient[[#This Row],[Discharge_Date]])</f>
        <v>2023</v>
      </c>
    </row>
    <row r="723" spans="1:18" x14ac:dyDescent="0.25">
      <c r="A723">
        <v>694</v>
      </c>
      <c r="B723">
        <v>65</v>
      </c>
      <c r="C723" t="s">
        <v>15</v>
      </c>
      <c r="D723" t="s">
        <v>59</v>
      </c>
      <c r="E723" t="s">
        <v>60</v>
      </c>
      <c r="F723" s="5">
        <v>44939</v>
      </c>
      <c r="G723" s="5">
        <v>44990</v>
      </c>
      <c r="H723" t="s">
        <v>73</v>
      </c>
      <c r="I723">
        <v>2023</v>
      </c>
      <c r="J723">
        <v>51</v>
      </c>
      <c r="K723" t="s">
        <v>19</v>
      </c>
      <c r="L723" t="s">
        <v>26</v>
      </c>
      <c r="M723">
        <v>4</v>
      </c>
      <c r="N723" t="s">
        <v>19</v>
      </c>
      <c r="O723">
        <v>4000</v>
      </c>
      <c r="P723" t="str" cm="1">
        <f t="array" ref="P723">_xlfn.IFS(Hospital_Patient[[#This Row],[Age]]&lt;=18,"Young",Hospital_Patient[[#This Row],[Age]]&lt;=36,"Adult",Hospital_Patient[[#This Row],[Age]]&lt;=60,"Middle Age",Hospital_Patient[[#This Row],[Age]]&gt;60,"Senior")</f>
        <v>Senior</v>
      </c>
      <c r="Q723" t="str" cm="1">
        <f t="array" ref="Q7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23">
        <f>YEAR(Hospital_Patient[[#This Row],[Discharge_Date]])</f>
        <v>2023</v>
      </c>
    </row>
    <row r="724" spans="1:18" hidden="1" x14ac:dyDescent="0.25">
      <c r="A724">
        <v>337</v>
      </c>
      <c r="B724">
        <v>58</v>
      </c>
      <c r="C724" t="s">
        <v>22</v>
      </c>
      <c r="D724" t="s">
        <v>52</v>
      </c>
      <c r="E724" t="s">
        <v>53</v>
      </c>
      <c r="F724" s="5">
        <v>44958</v>
      </c>
      <c r="G724" s="5">
        <v>44989</v>
      </c>
      <c r="H724" t="s">
        <v>18</v>
      </c>
      <c r="I724">
        <v>2023</v>
      </c>
      <c r="J724">
        <v>31</v>
      </c>
      <c r="K724" t="s">
        <v>19</v>
      </c>
      <c r="L724" t="s">
        <v>20</v>
      </c>
      <c r="M724">
        <v>3</v>
      </c>
      <c r="N724" t="s">
        <v>19</v>
      </c>
      <c r="O724">
        <v>20000</v>
      </c>
      <c r="P724" t="str" cm="1">
        <f t="array" ref="P724">_xlfn.IFS(Hospital_Patient[[#This Row],[Age]]&lt;=18,"Young",Hospital_Patient[[#This Row],[Age]]&lt;=36,"Adult",Hospital_Patient[[#This Row],[Age]]&lt;=60,"Middle Age",Hospital_Patient[[#This Row],[Age]]&gt;60,"Senior")</f>
        <v>Middle Age</v>
      </c>
      <c r="Q724" t="str" cm="1">
        <f t="array" ref="Q7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24">
        <f>YEAR(Hospital_Patient[[#This Row],[Discharge_Date]])</f>
        <v>2023</v>
      </c>
    </row>
    <row r="725" spans="1:18" hidden="1" x14ac:dyDescent="0.25">
      <c r="A725">
        <v>301</v>
      </c>
      <c r="B725">
        <v>68</v>
      </c>
      <c r="C725" t="s">
        <v>22</v>
      </c>
      <c r="D725" t="s">
        <v>36</v>
      </c>
      <c r="E725" t="s">
        <v>37</v>
      </c>
      <c r="F725" s="5">
        <v>44966</v>
      </c>
      <c r="G725" s="5">
        <v>44988</v>
      </c>
      <c r="H725" t="s">
        <v>25</v>
      </c>
      <c r="I725">
        <v>2023</v>
      </c>
      <c r="J725">
        <v>22</v>
      </c>
      <c r="K725" t="s">
        <v>19</v>
      </c>
      <c r="L725" t="s">
        <v>26</v>
      </c>
      <c r="M725">
        <v>4</v>
      </c>
      <c r="N725" t="s">
        <v>19</v>
      </c>
      <c r="O725">
        <v>1000</v>
      </c>
      <c r="P725" t="str" cm="1">
        <f t="array" ref="P725">_xlfn.IFS(Hospital_Patient[[#This Row],[Age]]&lt;=18,"Young",Hospital_Patient[[#This Row],[Age]]&lt;=36,"Adult",Hospital_Patient[[#This Row],[Age]]&lt;=60,"Middle Age",Hospital_Patient[[#This Row],[Age]]&gt;60,"Senior")</f>
        <v>Senior</v>
      </c>
      <c r="Q725" t="str" cm="1">
        <f t="array" ref="Q7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25">
        <f>YEAR(Hospital_Patient[[#This Row],[Discharge_Date]])</f>
        <v>2023</v>
      </c>
    </row>
    <row r="726" spans="1:18" hidden="1" x14ac:dyDescent="0.25">
      <c r="A726">
        <v>409</v>
      </c>
      <c r="B726">
        <v>28</v>
      </c>
      <c r="C726" t="s">
        <v>22</v>
      </c>
      <c r="D726" t="s">
        <v>47</v>
      </c>
      <c r="E726" t="s">
        <v>48</v>
      </c>
      <c r="F726" s="5">
        <v>44955</v>
      </c>
      <c r="G726" s="5">
        <v>44983</v>
      </c>
      <c r="H726" t="s">
        <v>74</v>
      </c>
      <c r="I726">
        <v>2023</v>
      </c>
      <c r="J726">
        <v>28</v>
      </c>
      <c r="K726" t="s">
        <v>19</v>
      </c>
      <c r="L726" t="s">
        <v>20</v>
      </c>
      <c r="M726">
        <v>5</v>
      </c>
      <c r="N726" t="s">
        <v>19</v>
      </c>
      <c r="O726">
        <v>100</v>
      </c>
      <c r="P726" t="str" cm="1">
        <f t="array" ref="P726">_xlfn.IFS(Hospital_Patient[[#This Row],[Age]]&lt;=18,"Young",Hospital_Patient[[#This Row],[Age]]&lt;=36,"Adult",Hospital_Patient[[#This Row],[Age]]&lt;=60,"Middle Age",Hospital_Patient[[#This Row],[Age]]&gt;60,"Senior")</f>
        <v>Adult</v>
      </c>
      <c r="Q726" t="str" cm="1">
        <f t="array" ref="Q7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26">
        <f>YEAR(Hospital_Patient[[#This Row],[Discharge_Date]])</f>
        <v>2023</v>
      </c>
    </row>
    <row r="727" spans="1:18" x14ac:dyDescent="0.25">
      <c r="A727">
        <v>935</v>
      </c>
      <c r="B727">
        <v>53</v>
      </c>
      <c r="C727" t="s">
        <v>15</v>
      </c>
      <c r="D727" t="s">
        <v>33</v>
      </c>
      <c r="E727" t="s">
        <v>34</v>
      </c>
      <c r="F727" s="5">
        <v>44909</v>
      </c>
      <c r="G727" s="5">
        <v>44982</v>
      </c>
      <c r="H727" t="s">
        <v>64</v>
      </c>
      <c r="I727">
        <v>2022</v>
      </c>
      <c r="J727">
        <v>73</v>
      </c>
      <c r="K727" t="s">
        <v>21</v>
      </c>
      <c r="L727" t="s">
        <v>20</v>
      </c>
      <c r="M727">
        <v>4</v>
      </c>
      <c r="N727" t="s">
        <v>21</v>
      </c>
      <c r="O727">
        <v>25000</v>
      </c>
      <c r="P727" t="str" cm="1">
        <f t="array" ref="P727">_xlfn.IFS(Hospital_Patient[[#This Row],[Age]]&lt;=18,"Young",Hospital_Patient[[#This Row],[Age]]&lt;=36,"Adult",Hospital_Patient[[#This Row],[Age]]&lt;=60,"Middle Age",Hospital_Patient[[#This Row],[Age]]&gt;60,"Senior")</f>
        <v>Middle Age</v>
      </c>
      <c r="Q727" t="str" cm="1">
        <f t="array" ref="Q7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27">
        <f>YEAR(Hospital_Patient[[#This Row],[Discharge_Date]])</f>
        <v>2023</v>
      </c>
    </row>
    <row r="728" spans="1:18" hidden="1" x14ac:dyDescent="0.25">
      <c r="A728">
        <v>329</v>
      </c>
      <c r="B728">
        <v>70</v>
      </c>
      <c r="C728" t="s">
        <v>22</v>
      </c>
      <c r="D728" t="s">
        <v>30</v>
      </c>
      <c r="E728" t="s">
        <v>31</v>
      </c>
      <c r="F728" s="5">
        <v>44950</v>
      </c>
      <c r="G728" s="5">
        <v>44979</v>
      </c>
      <c r="H728" t="s">
        <v>35</v>
      </c>
      <c r="I728">
        <v>2023</v>
      </c>
      <c r="J728">
        <v>29</v>
      </c>
      <c r="K728" t="s">
        <v>21</v>
      </c>
      <c r="L728" t="s">
        <v>26</v>
      </c>
      <c r="M728">
        <v>2</v>
      </c>
      <c r="N728" t="s">
        <v>19</v>
      </c>
      <c r="O728">
        <v>10000</v>
      </c>
      <c r="P728" t="str" cm="1">
        <f t="array" ref="P728">_xlfn.IFS(Hospital_Patient[[#This Row],[Age]]&lt;=18,"Young",Hospital_Patient[[#This Row],[Age]]&lt;=36,"Adult",Hospital_Patient[[#This Row],[Age]]&lt;=60,"Middle Age",Hospital_Patient[[#This Row],[Age]]&gt;60,"Senior")</f>
        <v>Senior</v>
      </c>
      <c r="Q728" t="str" cm="1">
        <f t="array" ref="Q7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28">
        <f>YEAR(Hospital_Patient[[#This Row],[Discharge_Date]])</f>
        <v>2023</v>
      </c>
    </row>
    <row r="729" spans="1:18" x14ac:dyDescent="0.25">
      <c r="A729">
        <v>530</v>
      </c>
      <c r="B729">
        <v>35</v>
      </c>
      <c r="C729" t="s">
        <v>15</v>
      </c>
      <c r="D729" t="s">
        <v>54</v>
      </c>
      <c r="E729" t="s">
        <v>55</v>
      </c>
      <c r="F729" s="5">
        <v>44941</v>
      </c>
      <c r="G729" s="5">
        <v>44979</v>
      </c>
      <c r="H729" t="s">
        <v>68</v>
      </c>
      <c r="I729">
        <v>2023</v>
      </c>
      <c r="J729">
        <v>38</v>
      </c>
      <c r="K729" t="s">
        <v>19</v>
      </c>
      <c r="L729" t="s">
        <v>20</v>
      </c>
      <c r="M729">
        <v>4</v>
      </c>
      <c r="N729" t="s">
        <v>21</v>
      </c>
      <c r="O729">
        <v>12000</v>
      </c>
      <c r="P729" t="str" cm="1">
        <f t="array" ref="P729">_xlfn.IFS(Hospital_Patient[[#This Row],[Age]]&lt;=18,"Young",Hospital_Patient[[#This Row],[Age]]&lt;=36,"Adult",Hospital_Patient[[#This Row],[Age]]&lt;=60,"Middle Age",Hospital_Patient[[#This Row],[Age]]&gt;60,"Senior")</f>
        <v>Adult</v>
      </c>
      <c r="Q729" t="str" cm="1">
        <f t="array" ref="Q7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29">
        <f>YEAR(Hospital_Patient[[#This Row],[Discharge_Date]])</f>
        <v>2023</v>
      </c>
    </row>
    <row r="730" spans="1:18" x14ac:dyDescent="0.25">
      <c r="A730">
        <v>618</v>
      </c>
      <c r="B730">
        <v>35</v>
      </c>
      <c r="C730" t="s">
        <v>15</v>
      </c>
      <c r="D730" t="s">
        <v>54</v>
      </c>
      <c r="E730" t="s">
        <v>55</v>
      </c>
      <c r="F730" s="5">
        <v>44935</v>
      </c>
      <c r="G730" s="5">
        <v>44979</v>
      </c>
      <c r="H730" t="s">
        <v>56</v>
      </c>
      <c r="I730">
        <v>2023</v>
      </c>
      <c r="J730">
        <v>44</v>
      </c>
      <c r="K730" t="s">
        <v>19</v>
      </c>
      <c r="L730" t="s">
        <v>20</v>
      </c>
      <c r="M730">
        <v>4</v>
      </c>
      <c r="N730" t="s">
        <v>21</v>
      </c>
      <c r="O730">
        <v>12000</v>
      </c>
      <c r="P730" t="str" cm="1">
        <f t="array" ref="P730">_xlfn.IFS(Hospital_Patient[[#This Row],[Age]]&lt;=18,"Young",Hospital_Patient[[#This Row],[Age]]&lt;=36,"Adult",Hospital_Patient[[#This Row],[Age]]&lt;=60,"Middle Age",Hospital_Patient[[#This Row],[Age]]&gt;60,"Senior")</f>
        <v>Adult</v>
      </c>
      <c r="Q730" t="str" cm="1">
        <f t="array" ref="Q7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0">
        <f>YEAR(Hospital_Patient[[#This Row],[Discharge_Date]])</f>
        <v>2023</v>
      </c>
    </row>
    <row r="731" spans="1:18" x14ac:dyDescent="0.25">
      <c r="A731">
        <v>852</v>
      </c>
      <c r="B731">
        <v>52</v>
      </c>
      <c r="C731" t="s">
        <v>15</v>
      </c>
      <c r="D731" t="s">
        <v>49</v>
      </c>
      <c r="E731" t="s">
        <v>50</v>
      </c>
      <c r="F731" s="5">
        <v>44920</v>
      </c>
      <c r="G731" s="5">
        <v>44979</v>
      </c>
      <c r="H731" t="s">
        <v>71</v>
      </c>
      <c r="I731">
        <v>2022</v>
      </c>
      <c r="J731">
        <v>59</v>
      </c>
      <c r="K731" t="s">
        <v>19</v>
      </c>
      <c r="L731" t="s">
        <v>26</v>
      </c>
      <c r="M731">
        <v>4</v>
      </c>
      <c r="N731" t="s">
        <v>21</v>
      </c>
      <c r="O731">
        <v>800</v>
      </c>
      <c r="P731" t="str" cm="1">
        <f t="array" ref="P731">_xlfn.IFS(Hospital_Patient[[#This Row],[Age]]&lt;=18,"Young",Hospital_Patient[[#This Row],[Age]]&lt;=36,"Adult",Hospital_Patient[[#This Row],[Age]]&lt;=60,"Middle Age",Hospital_Patient[[#This Row],[Age]]&gt;60,"Senior")</f>
        <v>Middle Age</v>
      </c>
      <c r="Q731" t="str" cm="1">
        <f t="array" ref="Q7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1">
        <f>YEAR(Hospital_Patient[[#This Row],[Discharge_Date]])</f>
        <v>2023</v>
      </c>
    </row>
    <row r="732" spans="1:18" x14ac:dyDescent="0.25">
      <c r="A732">
        <v>922</v>
      </c>
      <c r="B732">
        <v>45</v>
      </c>
      <c r="C732" t="s">
        <v>15</v>
      </c>
      <c r="D732" t="s">
        <v>39</v>
      </c>
      <c r="E732" t="s">
        <v>40</v>
      </c>
      <c r="F732" s="5">
        <v>44910</v>
      </c>
      <c r="G732" s="5">
        <v>44978</v>
      </c>
      <c r="H732" t="s">
        <v>41</v>
      </c>
      <c r="I732">
        <v>2022</v>
      </c>
      <c r="J732">
        <v>68</v>
      </c>
      <c r="K732" t="s">
        <v>19</v>
      </c>
      <c r="L732" t="s">
        <v>20</v>
      </c>
      <c r="M732">
        <v>3</v>
      </c>
      <c r="N732" t="s">
        <v>21</v>
      </c>
      <c r="O732">
        <v>8000</v>
      </c>
      <c r="P732" t="str" cm="1">
        <f t="array" ref="P732">_xlfn.IFS(Hospital_Patient[[#This Row],[Age]]&lt;=18,"Young",Hospital_Patient[[#This Row],[Age]]&lt;=36,"Adult",Hospital_Patient[[#This Row],[Age]]&lt;=60,"Middle Age",Hospital_Patient[[#This Row],[Age]]&gt;60,"Senior")</f>
        <v>Middle Age</v>
      </c>
      <c r="Q732" t="str" cm="1">
        <f t="array" ref="Q7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32">
        <f>YEAR(Hospital_Patient[[#This Row],[Discharge_Date]])</f>
        <v>2023</v>
      </c>
    </row>
    <row r="733" spans="1:18" x14ac:dyDescent="0.25">
      <c r="A733">
        <v>723</v>
      </c>
      <c r="B733">
        <v>65</v>
      </c>
      <c r="C733" t="s">
        <v>15</v>
      </c>
      <c r="D733" t="s">
        <v>59</v>
      </c>
      <c r="E733" t="s">
        <v>60</v>
      </c>
      <c r="F733" s="5">
        <v>44923</v>
      </c>
      <c r="G733" s="5">
        <v>44976</v>
      </c>
      <c r="H733" t="s">
        <v>75</v>
      </c>
      <c r="I733">
        <v>2022</v>
      </c>
      <c r="J733">
        <v>53</v>
      </c>
      <c r="K733" t="s">
        <v>19</v>
      </c>
      <c r="L733" t="s">
        <v>26</v>
      </c>
      <c r="M733">
        <v>4</v>
      </c>
      <c r="N733" t="s">
        <v>19</v>
      </c>
      <c r="O733">
        <v>4000</v>
      </c>
      <c r="P733" t="str" cm="1">
        <f t="array" ref="P733">_xlfn.IFS(Hospital_Patient[[#This Row],[Age]]&lt;=18,"Young",Hospital_Patient[[#This Row],[Age]]&lt;=36,"Adult",Hospital_Patient[[#This Row],[Age]]&lt;=60,"Middle Age",Hospital_Patient[[#This Row],[Age]]&gt;60,"Senior")</f>
        <v>Senior</v>
      </c>
      <c r="Q733" t="str" cm="1">
        <f t="array" ref="Q7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3">
        <f>YEAR(Hospital_Patient[[#This Row],[Discharge_Date]])</f>
        <v>2023</v>
      </c>
    </row>
    <row r="734" spans="1:18" x14ac:dyDescent="0.25">
      <c r="A734">
        <v>710</v>
      </c>
      <c r="B734">
        <v>48</v>
      </c>
      <c r="C734" t="s">
        <v>15</v>
      </c>
      <c r="D734" t="s">
        <v>16</v>
      </c>
      <c r="E734" t="s">
        <v>17</v>
      </c>
      <c r="F734" s="5">
        <v>44920</v>
      </c>
      <c r="G734" s="5">
        <v>44973</v>
      </c>
      <c r="H734" t="s">
        <v>73</v>
      </c>
      <c r="I734">
        <v>2022</v>
      </c>
      <c r="J734">
        <v>53</v>
      </c>
      <c r="K734" t="s">
        <v>21</v>
      </c>
      <c r="L734" t="s">
        <v>20</v>
      </c>
      <c r="M734">
        <v>4</v>
      </c>
      <c r="N734" t="s">
        <v>19</v>
      </c>
      <c r="O734">
        <v>15000</v>
      </c>
      <c r="P734" t="str" cm="1">
        <f t="array" ref="P734">_xlfn.IFS(Hospital_Patient[[#This Row],[Age]]&lt;=18,"Young",Hospital_Patient[[#This Row],[Age]]&lt;=36,"Adult",Hospital_Patient[[#This Row],[Age]]&lt;=60,"Middle Age",Hospital_Patient[[#This Row],[Age]]&gt;60,"Senior")</f>
        <v>Middle Age</v>
      </c>
      <c r="Q734" t="str" cm="1">
        <f t="array" ref="Q7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4">
        <f>YEAR(Hospital_Patient[[#This Row],[Discharge_Date]])</f>
        <v>2023</v>
      </c>
    </row>
    <row r="735" spans="1:18" x14ac:dyDescent="0.25">
      <c r="A735">
        <v>717</v>
      </c>
      <c r="B735">
        <v>78</v>
      </c>
      <c r="C735" t="s">
        <v>15</v>
      </c>
      <c r="D735" t="s">
        <v>45</v>
      </c>
      <c r="E735" t="s">
        <v>46</v>
      </c>
      <c r="F735" s="5">
        <v>44917</v>
      </c>
      <c r="G735" s="5">
        <v>44973</v>
      </c>
      <c r="H735" t="s">
        <v>18</v>
      </c>
      <c r="I735">
        <v>2022</v>
      </c>
      <c r="J735">
        <v>56</v>
      </c>
      <c r="K735" t="s">
        <v>21</v>
      </c>
      <c r="L735" t="s">
        <v>26</v>
      </c>
      <c r="M735">
        <v>2</v>
      </c>
      <c r="N735" t="s">
        <v>19</v>
      </c>
      <c r="O735">
        <v>18000</v>
      </c>
      <c r="P735" t="str" cm="1">
        <f t="array" ref="P735">_xlfn.IFS(Hospital_Patient[[#This Row],[Age]]&lt;=18,"Young",Hospital_Patient[[#This Row],[Age]]&lt;=36,"Adult",Hospital_Patient[[#This Row],[Age]]&lt;=60,"Middle Age",Hospital_Patient[[#This Row],[Age]]&gt;60,"Senior")</f>
        <v>Senior</v>
      </c>
      <c r="Q735" t="str" cm="1">
        <f t="array" ref="Q7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5">
        <f>YEAR(Hospital_Patient[[#This Row],[Discharge_Date]])</f>
        <v>2023</v>
      </c>
    </row>
    <row r="736" spans="1:18" x14ac:dyDescent="0.25">
      <c r="A736">
        <v>490</v>
      </c>
      <c r="B736">
        <v>35</v>
      </c>
      <c r="C736" t="s">
        <v>15</v>
      </c>
      <c r="D736" t="s">
        <v>27</v>
      </c>
      <c r="E736" t="s">
        <v>28</v>
      </c>
      <c r="F736" s="5">
        <v>44938</v>
      </c>
      <c r="G736" s="5">
        <v>44972</v>
      </c>
      <c r="H736" t="s">
        <v>70</v>
      </c>
      <c r="I736">
        <v>2023</v>
      </c>
      <c r="J736">
        <v>34</v>
      </c>
      <c r="K736" t="s">
        <v>21</v>
      </c>
      <c r="L736" t="s">
        <v>20</v>
      </c>
      <c r="M736">
        <v>5</v>
      </c>
      <c r="N736" t="s">
        <v>21</v>
      </c>
      <c r="O736">
        <v>500</v>
      </c>
      <c r="P736" t="str" cm="1">
        <f t="array" ref="P736">_xlfn.IFS(Hospital_Patient[[#This Row],[Age]]&lt;=18,"Young",Hospital_Patient[[#This Row],[Age]]&lt;=36,"Adult",Hospital_Patient[[#This Row],[Age]]&lt;=60,"Middle Age",Hospital_Patient[[#This Row],[Age]]&gt;60,"Senior")</f>
        <v>Adult</v>
      </c>
      <c r="Q736" t="str" cm="1">
        <f t="array" ref="Q7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6">
        <f>YEAR(Hospital_Patient[[#This Row],[Discharge_Date]])</f>
        <v>2023</v>
      </c>
    </row>
    <row r="737" spans="1:18" x14ac:dyDescent="0.25">
      <c r="A737">
        <v>153</v>
      </c>
      <c r="B737">
        <v>55</v>
      </c>
      <c r="C737" t="s">
        <v>15</v>
      </c>
      <c r="D737" t="s">
        <v>33</v>
      </c>
      <c r="E737" t="s">
        <v>34</v>
      </c>
      <c r="F737" s="5">
        <v>44951</v>
      </c>
      <c r="G737" s="5">
        <v>44971</v>
      </c>
      <c r="H737" t="s">
        <v>62</v>
      </c>
      <c r="I737">
        <v>2023</v>
      </c>
      <c r="J737">
        <v>20</v>
      </c>
      <c r="K737" t="s">
        <v>19</v>
      </c>
      <c r="L737" t="s">
        <v>20</v>
      </c>
      <c r="M737">
        <v>4</v>
      </c>
      <c r="N737" t="s">
        <v>19</v>
      </c>
      <c r="O737">
        <v>25000</v>
      </c>
      <c r="P737" t="str" cm="1">
        <f t="array" ref="P737">_xlfn.IFS(Hospital_Patient[[#This Row],[Age]]&lt;=18,"Young",Hospital_Patient[[#This Row],[Age]]&lt;=36,"Adult",Hospital_Patient[[#This Row],[Age]]&lt;=60,"Middle Age",Hospital_Patient[[#This Row],[Age]]&gt;60,"Senior")</f>
        <v>Middle Age</v>
      </c>
      <c r="Q737" t="str" cm="1">
        <f t="array" ref="Q7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37">
        <f>YEAR(Hospital_Patient[[#This Row],[Discharge_Date]])</f>
        <v>2023</v>
      </c>
    </row>
    <row r="738" spans="1:18" x14ac:dyDescent="0.25">
      <c r="A738">
        <v>382</v>
      </c>
      <c r="B738">
        <v>35</v>
      </c>
      <c r="C738" t="s">
        <v>15</v>
      </c>
      <c r="D738" t="s">
        <v>54</v>
      </c>
      <c r="E738" t="s">
        <v>55</v>
      </c>
      <c r="F738" s="5">
        <v>44941</v>
      </c>
      <c r="G738" s="5">
        <v>44969</v>
      </c>
      <c r="H738" t="s">
        <v>56</v>
      </c>
      <c r="I738">
        <v>2023</v>
      </c>
      <c r="J738">
        <v>28</v>
      </c>
      <c r="K738" t="s">
        <v>19</v>
      </c>
      <c r="L738" t="s">
        <v>20</v>
      </c>
      <c r="M738">
        <v>4</v>
      </c>
      <c r="N738" t="s">
        <v>21</v>
      </c>
      <c r="O738">
        <v>12000</v>
      </c>
      <c r="P738" t="str" cm="1">
        <f t="array" ref="P738">_xlfn.IFS(Hospital_Patient[[#This Row],[Age]]&lt;=18,"Young",Hospital_Patient[[#This Row],[Age]]&lt;=36,"Adult",Hospital_Patient[[#This Row],[Age]]&lt;=60,"Middle Age",Hospital_Patient[[#This Row],[Age]]&gt;60,"Senior")</f>
        <v>Adult</v>
      </c>
      <c r="Q738" t="str" cm="1">
        <f t="array" ref="Q7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38">
        <f>YEAR(Hospital_Patient[[#This Row],[Discharge_Date]])</f>
        <v>2023</v>
      </c>
    </row>
    <row r="739" spans="1:18" x14ac:dyDescent="0.25">
      <c r="A739">
        <v>485</v>
      </c>
      <c r="B739">
        <v>32</v>
      </c>
      <c r="C739" t="s">
        <v>15</v>
      </c>
      <c r="D739" t="s">
        <v>54</v>
      </c>
      <c r="E739" t="s">
        <v>55</v>
      </c>
      <c r="F739" s="5">
        <v>44930</v>
      </c>
      <c r="G739" s="5">
        <v>44965</v>
      </c>
      <c r="H739" t="s">
        <v>78</v>
      </c>
      <c r="I739">
        <v>2023</v>
      </c>
      <c r="J739">
        <v>35</v>
      </c>
      <c r="K739" t="s">
        <v>19</v>
      </c>
      <c r="L739" t="s">
        <v>20</v>
      </c>
      <c r="M739">
        <v>4</v>
      </c>
      <c r="N739" t="s">
        <v>19</v>
      </c>
      <c r="O739">
        <v>12000</v>
      </c>
      <c r="P739" t="str" cm="1">
        <f t="array" ref="P739">_xlfn.IFS(Hospital_Patient[[#This Row],[Age]]&lt;=18,"Young",Hospital_Patient[[#This Row],[Age]]&lt;=36,"Adult",Hospital_Patient[[#This Row],[Age]]&lt;=60,"Middle Age",Hospital_Patient[[#This Row],[Age]]&gt;60,"Senior")</f>
        <v>Adult</v>
      </c>
      <c r="Q739" t="str" cm="1">
        <f t="array" ref="Q7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39">
        <f>YEAR(Hospital_Patient[[#This Row],[Discharge_Date]])</f>
        <v>2023</v>
      </c>
    </row>
    <row r="740" spans="1:18" x14ac:dyDescent="0.25">
      <c r="A740">
        <v>300</v>
      </c>
      <c r="B740">
        <v>55</v>
      </c>
      <c r="C740" t="s">
        <v>15</v>
      </c>
      <c r="D740" t="s">
        <v>33</v>
      </c>
      <c r="E740" t="s">
        <v>34</v>
      </c>
      <c r="F740" s="5">
        <v>44934</v>
      </c>
      <c r="G740" s="5">
        <v>44964</v>
      </c>
      <c r="H740" t="s">
        <v>67</v>
      </c>
      <c r="I740">
        <v>2023</v>
      </c>
      <c r="J740">
        <v>30</v>
      </c>
      <c r="K740" t="s">
        <v>19</v>
      </c>
      <c r="L740" t="s">
        <v>20</v>
      </c>
      <c r="M740">
        <v>4</v>
      </c>
      <c r="N740" t="s">
        <v>19</v>
      </c>
      <c r="O740">
        <v>25000</v>
      </c>
      <c r="P740" t="str" cm="1">
        <f t="array" ref="P740">_xlfn.IFS(Hospital_Patient[[#This Row],[Age]]&lt;=18,"Young",Hospital_Patient[[#This Row],[Age]]&lt;=36,"Adult",Hospital_Patient[[#This Row],[Age]]&lt;=60,"Middle Age",Hospital_Patient[[#This Row],[Age]]&gt;60,"Senior")</f>
        <v>Middle Age</v>
      </c>
      <c r="Q740" t="str" cm="1">
        <f t="array" ref="Q7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40">
        <f>YEAR(Hospital_Patient[[#This Row],[Discharge_Date]])</f>
        <v>2023</v>
      </c>
    </row>
    <row r="741" spans="1:18" x14ac:dyDescent="0.25">
      <c r="A741">
        <v>684</v>
      </c>
      <c r="B741">
        <v>55</v>
      </c>
      <c r="C741" t="s">
        <v>15</v>
      </c>
      <c r="D741" t="s">
        <v>33</v>
      </c>
      <c r="E741" t="s">
        <v>34</v>
      </c>
      <c r="F741" s="5">
        <v>44908</v>
      </c>
      <c r="G741" s="5">
        <v>44964</v>
      </c>
      <c r="H741" t="s">
        <v>35</v>
      </c>
      <c r="I741">
        <v>2022</v>
      </c>
      <c r="J741">
        <v>56</v>
      </c>
      <c r="K741" t="s">
        <v>19</v>
      </c>
      <c r="L741" t="s">
        <v>20</v>
      </c>
      <c r="M741">
        <v>4</v>
      </c>
      <c r="N741" t="s">
        <v>21</v>
      </c>
      <c r="O741">
        <v>25000</v>
      </c>
      <c r="P741" t="str" cm="1">
        <f t="array" ref="P741">_xlfn.IFS(Hospital_Patient[[#This Row],[Age]]&lt;=18,"Young",Hospital_Patient[[#This Row],[Age]]&lt;=36,"Adult",Hospital_Patient[[#This Row],[Age]]&lt;=60,"Middle Age",Hospital_Patient[[#This Row],[Age]]&gt;60,"Senior")</f>
        <v>Middle Age</v>
      </c>
      <c r="Q741" t="str" cm="1">
        <f t="array" ref="Q7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1">
        <f>YEAR(Hospital_Patient[[#This Row],[Discharge_Date]])</f>
        <v>2023</v>
      </c>
    </row>
    <row r="742" spans="1:18" hidden="1" x14ac:dyDescent="0.25">
      <c r="A742">
        <v>984</v>
      </c>
      <c r="B742">
        <v>25</v>
      </c>
      <c r="C742" t="s">
        <v>22</v>
      </c>
      <c r="D742" t="s">
        <v>47</v>
      </c>
      <c r="E742" t="s">
        <v>48</v>
      </c>
      <c r="F742" s="5">
        <v>44895</v>
      </c>
      <c r="G742" s="5">
        <v>44963</v>
      </c>
      <c r="H742" t="s">
        <v>18</v>
      </c>
      <c r="I742">
        <v>2022</v>
      </c>
      <c r="J742">
        <v>68</v>
      </c>
      <c r="K742" t="s">
        <v>19</v>
      </c>
      <c r="L742" t="s">
        <v>20</v>
      </c>
      <c r="M742">
        <v>5</v>
      </c>
      <c r="N742" t="s">
        <v>19</v>
      </c>
      <c r="O742">
        <v>100</v>
      </c>
      <c r="P742" t="str" cm="1">
        <f t="array" ref="P742">_xlfn.IFS(Hospital_Patient[[#This Row],[Age]]&lt;=18,"Young",Hospital_Patient[[#This Row],[Age]]&lt;=36,"Adult",Hospital_Patient[[#This Row],[Age]]&lt;=60,"Middle Age",Hospital_Patient[[#This Row],[Age]]&gt;60,"Senior")</f>
        <v>Adult</v>
      </c>
      <c r="Q742" t="str" cm="1">
        <f t="array" ref="Q7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42">
        <f>YEAR(Hospital_Patient[[#This Row],[Discharge_Date]])</f>
        <v>2023</v>
      </c>
    </row>
    <row r="743" spans="1:18" x14ac:dyDescent="0.25">
      <c r="A743">
        <v>872</v>
      </c>
      <c r="B743">
        <v>55</v>
      </c>
      <c r="C743" t="s">
        <v>15</v>
      </c>
      <c r="D743" t="s">
        <v>16</v>
      </c>
      <c r="E743" t="s">
        <v>17</v>
      </c>
      <c r="F743" s="5">
        <v>44897</v>
      </c>
      <c r="G743" s="5">
        <v>44961</v>
      </c>
      <c r="H743" t="s">
        <v>18</v>
      </c>
      <c r="I743">
        <v>2022</v>
      </c>
      <c r="J743">
        <v>64</v>
      </c>
      <c r="K743" t="s">
        <v>21</v>
      </c>
      <c r="L743" t="s">
        <v>20</v>
      </c>
      <c r="M743">
        <v>3</v>
      </c>
      <c r="N743" t="s">
        <v>19</v>
      </c>
      <c r="O743">
        <v>15000</v>
      </c>
      <c r="P743" t="str" cm="1">
        <f t="array" ref="P743">_xlfn.IFS(Hospital_Patient[[#This Row],[Age]]&lt;=18,"Young",Hospital_Patient[[#This Row],[Age]]&lt;=36,"Adult",Hospital_Patient[[#This Row],[Age]]&lt;=60,"Middle Age",Hospital_Patient[[#This Row],[Age]]&gt;60,"Senior")</f>
        <v>Middle Age</v>
      </c>
      <c r="Q743" t="str" cm="1">
        <f t="array" ref="Q7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43">
        <f>YEAR(Hospital_Patient[[#This Row],[Discharge_Date]])</f>
        <v>2023</v>
      </c>
    </row>
    <row r="744" spans="1:18" x14ac:dyDescent="0.25">
      <c r="A744">
        <v>793</v>
      </c>
      <c r="B744">
        <v>52</v>
      </c>
      <c r="C744" t="s">
        <v>15</v>
      </c>
      <c r="D744" t="s">
        <v>49</v>
      </c>
      <c r="E744" t="s">
        <v>50</v>
      </c>
      <c r="F744" s="5">
        <v>44901</v>
      </c>
      <c r="G744" s="5">
        <v>44956</v>
      </c>
      <c r="H744" t="s">
        <v>51</v>
      </c>
      <c r="I744">
        <v>2022</v>
      </c>
      <c r="J744">
        <v>55</v>
      </c>
      <c r="K744" t="s">
        <v>19</v>
      </c>
      <c r="L744" t="s">
        <v>26</v>
      </c>
      <c r="M744">
        <v>4</v>
      </c>
      <c r="N744" t="s">
        <v>19</v>
      </c>
      <c r="O744">
        <v>800</v>
      </c>
      <c r="P744" t="str" cm="1">
        <f t="array" ref="P744">_xlfn.IFS(Hospital_Patient[[#This Row],[Age]]&lt;=18,"Young",Hospital_Patient[[#This Row],[Age]]&lt;=36,"Adult",Hospital_Patient[[#This Row],[Age]]&lt;=60,"Middle Age",Hospital_Patient[[#This Row],[Age]]&gt;60,"Senior")</f>
        <v>Middle Age</v>
      </c>
      <c r="Q744" t="str" cm="1">
        <f t="array" ref="Q7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4">
        <f>YEAR(Hospital_Patient[[#This Row],[Discharge_Date]])</f>
        <v>2023</v>
      </c>
    </row>
    <row r="745" spans="1:18" x14ac:dyDescent="0.25">
      <c r="A745">
        <v>542</v>
      </c>
      <c r="B745">
        <v>52</v>
      </c>
      <c r="C745" t="s">
        <v>15</v>
      </c>
      <c r="D745" t="s">
        <v>49</v>
      </c>
      <c r="E745" t="s">
        <v>50</v>
      </c>
      <c r="F745" s="5">
        <v>44914</v>
      </c>
      <c r="G745" s="5">
        <v>44952</v>
      </c>
      <c r="H745" t="s">
        <v>64</v>
      </c>
      <c r="I745">
        <v>2022</v>
      </c>
      <c r="J745">
        <v>38</v>
      </c>
      <c r="K745" t="s">
        <v>19</v>
      </c>
      <c r="L745" t="s">
        <v>26</v>
      </c>
      <c r="M745">
        <v>4</v>
      </c>
      <c r="N745" t="s">
        <v>21</v>
      </c>
      <c r="O745">
        <v>800</v>
      </c>
      <c r="P745" t="str" cm="1">
        <f t="array" ref="P745">_xlfn.IFS(Hospital_Patient[[#This Row],[Age]]&lt;=18,"Young",Hospital_Patient[[#This Row],[Age]]&lt;=36,"Adult",Hospital_Patient[[#This Row],[Age]]&lt;=60,"Middle Age",Hospital_Patient[[#This Row],[Age]]&gt;60,"Senior")</f>
        <v>Middle Age</v>
      </c>
      <c r="Q745" t="str" cm="1">
        <f t="array" ref="Q7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5">
        <f>YEAR(Hospital_Patient[[#This Row],[Discharge_Date]])</f>
        <v>2023</v>
      </c>
    </row>
    <row r="746" spans="1:18" x14ac:dyDescent="0.25">
      <c r="A746">
        <v>871</v>
      </c>
      <c r="B746">
        <v>65</v>
      </c>
      <c r="C746" t="s">
        <v>15</v>
      </c>
      <c r="D746" t="s">
        <v>59</v>
      </c>
      <c r="E746" t="s">
        <v>60</v>
      </c>
      <c r="F746" s="5">
        <v>44889</v>
      </c>
      <c r="G746" s="5">
        <v>44952</v>
      </c>
      <c r="H746" t="s">
        <v>75</v>
      </c>
      <c r="I746">
        <v>2022</v>
      </c>
      <c r="J746">
        <v>63</v>
      </c>
      <c r="K746" t="s">
        <v>19</v>
      </c>
      <c r="L746" t="s">
        <v>26</v>
      </c>
      <c r="M746">
        <v>4</v>
      </c>
      <c r="N746" t="s">
        <v>19</v>
      </c>
      <c r="O746">
        <v>4000</v>
      </c>
      <c r="P746" t="str" cm="1">
        <f t="array" ref="P746">_xlfn.IFS(Hospital_Patient[[#This Row],[Age]]&lt;=18,"Young",Hospital_Patient[[#This Row],[Age]]&lt;=36,"Adult",Hospital_Patient[[#This Row],[Age]]&lt;=60,"Middle Age",Hospital_Patient[[#This Row],[Age]]&gt;60,"Senior")</f>
        <v>Senior</v>
      </c>
      <c r="Q746" t="str" cm="1">
        <f t="array" ref="Q7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46">
        <f>YEAR(Hospital_Patient[[#This Row],[Discharge_Date]])</f>
        <v>2023</v>
      </c>
    </row>
    <row r="747" spans="1:18" hidden="1" x14ac:dyDescent="0.25">
      <c r="A747">
        <v>486</v>
      </c>
      <c r="B747">
        <v>55</v>
      </c>
      <c r="C747" t="s">
        <v>22</v>
      </c>
      <c r="D747" t="s">
        <v>57</v>
      </c>
      <c r="E747" t="s">
        <v>58</v>
      </c>
      <c r="F747" s="5">
        <v>44914</v>
      </c>
      <c r="G747" s="5">
        <v>44950</v>
      </c>
      <c r="H747" t="s">
        <v>44</v>
      </c>
      <c r="I747">
        <v>2022</v>
      </c>
      <c r="J747">
        <v>36</v>
      </c>
      <c r="K747" t="s">
        <v>19</v>
      </c>
      <c r="L747" t="s">
        <v>20</v>
      </c>
      <c r="M747">
        <v>3</v>
      </c>
      <c r="N747" t="s">
        <v>19</v>
      </c>
      <c r="O747">
        <v>6000</v>
      </c>
      <c r="P747" t="str" cm="1">
        <f t="array" ref="P747">_xlfn.IFS(Hospital_Patient[[#This Row],[Age]]&lt;=18,"Young",Hospital_Patient[[#This Row],[Age]]&lt;=36,"Adult",Hospital_Patient[[#This Row],[Age]]&lt;=60,"Middle Age",Hospital_Patient[[#This Row],[Age]]&gt;60,"Senior")</f>
        <v>Middle Age</v>
      </c>
      <c r="Q747" t="str" cm="1">
        <f t="array" ref="Q7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7">
        <f>YEAR(Hospital_Patient[[#This Row],[Discharge_Date]])</f>
        <v>2023</v>
      </c>
    </row>
    <row r="748" spans="1:18" x14ac:dyDescent="0.25">
      <c r="A748">
        <v>546</v>
      </c>
      <c r="B748">
        <v>65</v>
      </c>
      <c r="C748" t="s">
        <v>15</v>
      </c>
      <c r="D748" t="s">
        <v>59</v>
      </c>
      <c r="E748" t="s">
        <v>60</v>
      </c>
      <c r="F748" s="5">
        <v>44909</v>
      </c>
      <c r="G748" s="5">
        <v>44950</v>
      </c>
      <c r="H748" t="s">
        <v>61</v>
      </c>
      <c r="I748">
        <v>2022</v>
      </c>
      <c r="J748">
        <v>41</v>
      </c>
      <c r="K748" t="s">
        <v>19</v>
      </c>
      <c r="L748" t="s">
        <v>26</v>
      </c>
      <c r="M748">
        <v>4</v>
      </c>
      <c r="N748" t="s">
        <v>21</v>
      </c>
      <c r="O748">
        <v>4000</v>
      </c>
      <c r="P748" t="str" cm="1">
        <f t="array" ref="P748">_xlfn.IFS(Hospital_Patient[[#This Row],[Age]]&lt;=18,"Young",Hospital_Patient[[#This Row],[Age]]&lt;=36,"Adult",Hospital_Patient[[#This Row],[Age]]&lt;=60,"Middle Age",Hospital_Patient[[#This Row],[Age]]&gt;60,"Senior")</f>
        <v>Senior</v>
      </c>
      <c r="Q748" t="str" cm="1">
        <f t="array" ref="Q7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48">
        <f>YEAR(Hospital_Patient[[#This Row],[Discharge_Date]])</f>
        <v>2023</v>
      </c>
    </row>
    <row r="749" spans="1:18" x14ac:dyDescent="0.25">
      <c r="A749">
        <v>155</v>
      </c>
      <c r="B749">
        <v>45</v>
      </c>
      <c r="C749" t="s">
        <v>15</v>
      </c>
      <c r="D749" t="s">
        <v>39</v>
      </c>
      <c r="E749" t="s">
        <v>40</v>
      </c>
      <c r="F749" s="5">
        <v>44934</v>
      </c>
      <c r="G749" s="5">
        <v>44948</v>
      </c>
      <c r="H749" t="s">
        <v>72</v>
      </c>
      <c r="I749">
        <v>2023</v>
      </c>
      <c r="J749">
        <v>14</v>
      </c>
      <c r="K749" t="s">
        <v>19</v>
      </c>
      <c r="L749" t="s">
        <v>20</v>
      </c>
      <c r="M749">
        <v>3</v>
      </c>
      <c r="N749" t="s">
        <v>19</v>
      </c>
      <c r="O749">
        <v>8000</v>
      </c>
      <c r="P749" t="str" cm="1">
        <f t="array" ref="P749">_xlfn.IFS(Hospital_Patient[[#This Row],[Age]]&lt;=18,"Young",Hospital_Patient[[#This Row],[Age]]&lt;=36,"Adult",Hospital_Patient[[#This Row],[Age]]&lt;=60,"Middle Age",Hospital_Patient[[#This Row],[Age]]&gt;60,"Senior")</f>
        <v>Middle Age</v>
      </c>
      <c r="Q749" t="str" cm="1">
        <f t="array" ref="Q7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49">
        <f>YEAR(Hospital_Patient[[#This Row],[Discharge_Date]])</f>
        <v>2023</v>
      </c>
    </row>
    <row r="750" spans="1:18" x14ac:dyDescent="0.25">
      <c r="A750">
        <v>614</v>
      </c>
      <c r="B750">
        <v>75</v>
      </c>
      <c r="C750" t="s">
        <v>15</v>
      </c>
      <c r="D750" t="s">
        <v>45</v>
      </c>
      <c r="E750" t="s">
        <v>46</v>
      </c>
      <c r="F750" s="5">
        <v>44895</v>
      </c>
      <c r="G750" s="5">
        <v>44944</v>
      </c>
      <c r="H750" t="s">
        <v>18</v>
      </c>
      <c r="I750">
        <v>2022</v>
      </c>
      <c r="J750">
        <v>49</v>
      </c>
      <c r="K750" t="s">
        <v>21</v>
      </c>
      <c r="L750" t="s">
        <v>26</v>
      </c>
      <c r="M750">
        <v>2</v>
      </c>
      <c r="N750" t="s">
        <v>19</v>
      </c>
      <c r="O750">
        <v>18000</v>
      </c>
      <c r="P750" t="str" cm="1">
        <f t="array" ref="P750">_xlfn.IFS(Hospital_Patient[[#This Row],[Age]]&lt;=18,"Young",Hospital_Patient[[#This Row],[Age]]&lt;=36,"Adult",Hospital_Patient[[#This Row],[Age]]&lt;=60,"Middle Age",Hospital_Patient[[#This Row],[Age]]&gt;60,"Senior")</f>
        <v>Senior</v>
      </c>
      <c r="Q750" t="str" cm="1">
        <f t="array" ref="Q7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0">
        <f>YEAR(Hospital_Patient[[#This Row],[Discharge_Date]])</f>
        <v>2023</v>
      </c>
    </row>
    <row r="751" spans="1:18" hidden="1" x14ac:dyDescent="0.25">
      <c r="A751">
        <v>368</v>
      </c>
      <c r="B751">
        <v>55</v>
      </c>
      <c r="C751" t="s">
        <v>22</v>
      </c>
      <c r="D751" t="s">
        <v>57</v>
      </c>
      <c r="E751" t="s">
        <v>58</v>
      </c>
      <c r="F751" s="5">
        <v>44915</v>
      </c>
      <c r="G751" s="5">
        <v>44943</v>
      </c>
      <c r="H751" t="s">
        <v>51</v>
      </c>
      <c r="I751">
        <v>2022</v>
      </c>
      <c r="J751">
        <v>28</v>
      </c>
      <c r="K751" t="s">
        <v>19</v>
      </c>
      <c r="L751" t="s">
        <v>20</v>
      </c>
      <c r="M751">
        <v>3</v>
      </c>
      <c r="N751" t="s">
        <v>19</v>
      </c>
      <c r="O751">
        <v>6000</v>
      </c>
      <c r="P751" t="str" cm="1">
        <f t="array" ref="P751">_xlfn.IFS(Hospital_Patient[[#This Row],[Age]]&lt;=18,"Young",Hospital_Patient[[#This Row],[Age]]&lt;=36,"Adult",Hospital_Patient[[#This Row],[Age]]&lt;=60,"Middle Age",Hospital_Patient[[#This Row],[Age]]&gt;60,"Senior")</f>
        <v>Middle Age</v>
      </c>
      <c r="Q751" t="str" cm="1">
        <f t="array" ref="Q7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51">
        <f>YEAR(Hospital_Patient[[#This Row],[Discharge_Date]])</f>
        <v>2023</v>
      </c>
    </row>
    <row r="752" spans="1:18" x14ac:dyDescent="0.25">
      <c r="A752">
        <v>456</v>
      </c>
      <c r="B752">
        <v>32</v>
      </c>
      <c r="C752" t="s">
        <v>15</v>
      </c>
      <c r="D752" t="s">
        <v>54</v>
      </c>
      <c r="E752" t="s">
        <v>55</v>
      </c>
      <c r="F752" s="5">
        <v>44910</v>
      </c>
      <c r="G752" s="5">
        <v>44943</v>
      </c>
      <c r="H752" t="s">
        <v>75</v>
      </c>
      <c r="I752">
        <v>2022</v>
      </c>
      <c r="J752">
        <v>33</v>
      </c>
      <c r="K752" t="s">
        <v>19</v>
      </c>
      <c r="L752" t="s">
        <v>20</v>
      </c>
      <c r="M752">
        <v>4</v>
      </c>
      <c r="N752" t="s">
        <v>19</v>
      </c>
      <c r="O752">
        <v>12000</v>
      </c>
      <c r="P752" t="str" cm="1">
        <f t="array" ref="P752">_xlfn.IFS(Hospital_Patient[[#This Row],[Age]]&lt;=18,"Young",Hospital_Patient[[#This Row],[Age]]&lt;=36,"Adult",Hospital_Patient[[#This Row],[Age]]&lt;=60,"Middle Age",Hospital_Patient[[#This Row],[Age]]&gt;60,"Senior")</f>
        <v>Adult</v>
      </c>
      <c r="Q752" t="str" cm="1">
        <f t="array" ref="Q7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2">
        <f>YEAR(Hospital_Patient[[#This Row],[Discharge_Date]])</f>
        <v>2023</v>
      </c>
    </row>
    <row r="753" spans="1:18" hidden="1" x14ac:dyDescent="0.25">
      <c r="A753">
        <v>493</v>
      </c>
      <c r="B753">
        <v>72</v>
      </c>
      <c r="C753" t="s">
        <v>22</v>
      </c>
      <c r="D753" t="s">
        <v>36</v>
      </c>
      <c r="E753" t="s">
        <v>37</v>
      </c>
      <c r="F753" s="5">
        <v>44907</v>
      </c>
      <c r="G753" s="5">
        <v>44942</v>
      </c>
      <c r="H753" t="s">
        <v>38</v>
      </c>
      <c r="I753">
        <v>2022</v>
      </c>
      <c r="J753">
        <v>35</v>
      </c>
      <c r="K753" t="s">
        <v>19</v>
      </c>
      <c r="L753" t="s">
        <v>26</v>
      </c>
      <c r="M753">
        <v>4</v>
      </c>
      <c r="N753" t="s">
        <v>19</v>
      </c>
      <c r="O753">
        <v>1000</v>
      </c>
      <c r="P753" t="str" cm="1">
        <f t="array" ref="P753">_xlfn.IFS(Hospital_Patient[[#This Row],[Age]]&lt;=18,"Young",Hospital_Patient[[#This Row],[Age]]&lt;=36,"Adult",Hospital_Patient[[#This Row],[Age]]&lt;=60,"Middle Age",Hospital_Patient[[#This Row],[Age]]&gt;60,"Senior")</f>
        <v>Senior</v>
      </c>
      <c r="Q753" t="str" cm="1">
        <f t="array" ref="Q7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3">
        <f>YEAR(Hospital_Patient[[#This Row],[Discharge_Date]])</f>
        <v>2023</v>
      </c>
    </row>
    <row r="754" spans="1:18" hidden="1" x14ac:dyDescent="0.25">
      <c r="A754">
        <v>790</v>
      </c>
      <c r="B754">
        <v>45</v>
      </c>
      <c r="C754" t="s">
        <v>22</v>
      </c>
      <c r="D754" t="s">
        <v>42</v>
      </c>
      <c r="E754" t="s">
        <v>43</v>
      </c>
      <c r="F754" s="5">
        <v>44883</v>
      </c>
      <c r="G754" s="5">
        <v>44942</v>
      </c>
      <c r="H754" t="s">
        <v>70</v>
      </c>
      <c r="I754">
        <v>2022</v>
      </c>
      <c r="J754">
        <v>59</v>
      </c>
      <c r="K754" t="s">
        <v>19</v>
      </c>
      <c r="L754" t="s">
        <v>20</v>
      </c>
      <c r="M754">
        <v>4</v>
      </c>
      <c r="N754" t="s">
        <v>19</v>
      </c>
      <c r="O754">
        <v>3000</v>
      </c>
      <c r="P754" t="str" cm="1">
        <f t="array" ref="P754">_xlfn.IFS(Hospital_Patient[[#This Row],[Age]]&lt;=18,"Young",Hospital_Patient[[#This Row],[Age]]&lt;=36,"Adult",Hospital_Patient[[#This Row],[Age]]&lt;=60,"Middle Age",Hospital_Patient[[#This Row],[Age]]&gt;60,"Senior")</f>
        <v>Middle Age</v>
      </c>
      <c r="Q754" t="str" cm="1">
        <f t="array" ref="Q7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4">
        <f>YEAR(Hospital_Patient[[#This Row],[Discharge_Date]])</f>
        <v>2023</v>
      </c>
    </row>
    <row r="755" spans="1:18" hidden="1" x14ac:dyDescent="0.25">
      <c r="A755">
        <v>661</v>
      </c>
      <c r="B755">
        <v>58</v>
      </c>
      <c r="C755" t="s">
        <v>22</v>
      </c>
      <c r="D755" t="s">
        <v>52</v>
      </c>
      <c r="E755" t="s">
        <v>53</v>
      </c>
      <c r="F755" s="5">
        <v>44887</v>
      </c>
      <c r="G755" s="5">
        <v>44940</v>
      </c>
      <c r="H755" t="s">
        <v>51</v>
      </c>
      <c r="I755">
        <v>2022</v>
      </c>
      <c r="J755">
        <v>53</v>
      </c>
      <c r="K755" t="s">
        <v>19</v>
      </c>
      <c r="L755" t="s">
        <v>20</v>
      </c>
      <c r="M755">
        <v>3</v>
      </c>
      <c r="N755" t="s">
        <v>21</v>
      </c>
      <c r="O755">
        <v>20000</v>
      </c>
      <c r="P755" t="str" cm="1">
        <f t="array" ref="P755">_xlfn.IFS(Hospital_Patient[[#This Row],[Age]]&lt;=18,"Young",Hospital_Patient[[#This Row],[Age]]&lt;=36,"Adult",Hospital_Patient[[#This Row],[Age]]&lt;=60,"Middle Age",Hospital_Patient[[#This Row],[Age]]&gt;60,"Senior")</f>
        <v>Middle Age</v>
      </c>
      <c r="Q755" t="str" cm="1">
        <f t="array" ref="Q7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5">
        <f>YEAR(Hospital_Patient[[#This Row],[Discharge_Date]])</f>
        <v>2023</v>
      </c>
    </row>
    <row r="756" spans="1:18" x14ac:dyDescent="0.25">
      <c r="A756">
        <v>395</v>
      </c>
      <c r="B756">
        <v>52</v>
      </c>
      <c r="C756" t="s">
        <v>15</v>
      </c>
      <c r="D756" t="s">
        <v>49</v>
      </c>
      <c r="E756" t="s">
        <v>50</v>
      </c>
      <c r="F756" s="5">
        <v>44910</v>
      </c>
      <c r="G756" s="5">
        <v>44938</v>
      </c>
      <c r="H756" t="s">
        <v>64</v>
      </c>
      <c r="I756">
        <v>2022</v>
      </c>
      <c r="J756">
        <v>28</v>
      </c>
      <c r="K756" t="s">
        <v>19</v>
      </c>
      <c r="L756" t="s">
        <v>26</v>
      </c>
      <c r="M756">
        <v>4</v>
      </c>
      <c r="N756" t="s">
        <v>21</v>
      </c>
      <c r="O756">
        <v>800</v>
      </c>
      <c r="P756" t="str" cm="1">
        <f t="array" ref="P756">_xlfn.IFS(Hospital_Patient[[#This Row],[Age]]&lt;=18,"Young",Hospital_Patient[[#This Row],[Age]]&lt;=36,"Adult",Hospital_Patient[[#This Row],[Age]]&lt;=60,"Middle Age",Hospital_Patient[[#This Row],[Age]]&gt;60,"Senior")</f>
        <v>Middle Age</v>
      </c>
      <c r="Q756" t="str" cm="1">
        <f t="array" ref="Q7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56">
        <f>YEAR(Hospital_Patient[[#This Row],[Discharge_Date]])</f>
        <v>2023</v>
      </c>
    </row>
    <row r="757" spans="1:18" hidden="1" x14ac:dyDescent="0.25">
      <c r="A757">
        <v>586</v>
      </c>
      <c r="B757">
        <v>28</v>
      </c>
      <c r="C757" t="s">
        <v>22</v>
      </c>
      <c r="D757" t="s">
        <v>47</v>
      </c>
      <c r="E757" t="s">
        <v>48</v>
      </c>
      <c r="F757" s="5">
        <v>44898</v>
      </c>
      <c r="G757" s="5">
        <v>44938</v>
      </c>
      <c r="H757" t="s">
        <v>74</v>
      </c>
      <c r="I757">
        <v>2022</v>
      </c>
      <c r="J757">
        <v>40</v>
      </c>
      <c r="K757" t="s">
        <v>19</v>
      </c>
      <c r="L757" t="s">
        <v>20</v>
      </c>
      <c r="M757">
        <v>5</v>
      </c>
      <c r="N757" t="s">
        <v>21</v>
      </c>
      <c r="O757">
        <v>100</v>
      </c>
      <c r="P757" t="str" cm="1">
        <f t="array" ref="P757">_xlfn.IFS(Hospital_Patient[[#This Row],[Age]]&lt;=18,"Young",Hospital_Patient[[#This Row],[Age]]&lt;=36,"Adult",Hospital_Patient[[#This Row],[Age]]&lt;=60,"Middle Age",Hospital_Patient[[#This Row],[Age]]&gt;60,"Senior")</f>
        <v>Adult</v>
      </c>
      <c r="Q757" t="str" cm="1">
        <f t="array" ref="Q7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57">
        <f>YEAR(Hospital_Patient[[#This Row],[Discharge_Date]])</f>
        <v>2023</v>
      </c>
    </row>
    <row r="758" spans="1:18" hidden="1" x14ac:dyDescent="0.25">
      <c r="A758">
        <v>333</v>
      </c>
      <c r="B758">
        <v>40</v>
      </c>
      <c r="C758" t="s">
        <v>22</v>
      </c>
      <c r="D758" t="s">
        <v>42</v>
      </c>
      <c r="E758" t="s">
        <v>43</v>
      </c>
      <c r="F758" s="5">
        <v>44908</v>
      </c>
      <c r="G758" s="5">
        <v>44936</v>
      </c>
      <c r="H758" t="s">
        <v>71</v>
      </c>
      <c r="I758">
        <v>2022</v>
      </c>
      <c r="J758">
        <v>28</v>
      </c>
      <c r="K758" t="s">
        <v>19</v>
      </c>
      <c r="L758" t="s">
        <v>20</v>
      </c>
      <c r="M758">
        <v>4</v>
      </c>
      <c r="N758" t="s">
        <v>21</v>
      </c>
      <c r="O758">
        <v>3000</v>
      </c>
      <c r="P758" t="str" cm="1">
        <f t="array" ref="P758">_xlfn.IFS(Hospital_Patient[[#This Row],[Age]]&lt;=18,"Young",Hospital_Patient[[#This Row],[Age]]&lt;=36,"Adult",Hospital_Patient[[#This Row],[Age]]&lt;=60,"Middle Age",Hospital_Patient[[#This Row],[Age]]&gt;60,"Senior")</f>
        <v>Middle Age</v>
      </c>
      <c r="Q758" t="str" cm="1">
        <f t="array" ref="Q7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58">
        <f>YEAR(Hospital_Patient[[#This Row],[Discharge_Date]])</f>
        <v>2023</v>
      </c>
    </row>
    <row r="759" spans="1:18" x14ac:dyDescent="0.25">
      <c r="A759">
        <v>267</v>
      </c>
      <c r="B759">
        <v>48</v>
      </c>
      <c r="C759" t="s">
        <v>15</v>
      </c>
      <c r="D759" t="s">
        <v>16</v>
      </c>
      <c r="E759" t="s">
        <v>17</v>
      </c>
      <c r="F759" s="5">
        <v>44912</v>
      </c>
      <c r="G759" s="5">
        <v>44935</v>
      </c>
      <c r="H759" t="s">
        <v>69</v>
      </c>
      <c r="I759">
        <v>2022</v>
      </c>
      <c r="J759">
        <v>23</v>
      </c>
      <c r="K759" t="s">
        <v>21</v>
      </c>
      <c r="L759" t="s">
        <v>20</v>
      </c>
      <c r="M759">
        <v>4</v>
      </c>
      <c r="N759" t="s">
        <v>21</v>
      </c>
      <c r="O759">
        <v>15000</v>
      </c>
      <c r="P759" t="str" cm="1">
        <f t="array" ref="P759">_xlfn.IFS(Hospital_Patient[[#This Row],[Age]]&lt;=18,"Young",Hospital_Patient[[#This Row],[Age]]&lt;=36,"Adult",Hospital_Patient[[#This Row],[Age]]&lt;=60,"Middle Age",Hospital_Patient[[#This Row],[Age]]&gt;60,"Senior")</f>
        <v>Middle Age</v>
      </c>
      <c r="Q759" t="str" cm="1">
        <f t="array" ref="Q7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59">
        <f>YEAR(Hospital_Patient[[#This Row],[Discharge_Date]])</f>
        <v>2023</v>
      </c>
    </row>
    <row r="760" spans="1:18" x14ac:dyDescent="0.25">
      <c r="A760">
        <v>281</v>
      </c>
      <c r="B760">
        <v>65</v>
      </c>
      <c r="C760" t="s">
        <v>15</v>
      </c>
      <c r="D760" t="s">
        <v>59</v>
      </c>
      <c r="E760" t="s">
        <v>60</v>
      </c>
      <c r="F760" s="5">
        <v>44912</v>
      </c>
      <c r="G760" s="5">
        <v>44935</v>
      </c>
      <c r="H760" t="s">
        <v>75</v>
      </c>
      <c r="I760">
        <v>2022</v>
      </c>
      <c r="J760">
        <v>23</v>
      </c>
      <c r="K760" t="s">
        <v>19</v>
      </c>
      <c r="L760" t="s">
        <v>26</v>
      </c>
      <c r="M760">
        <v>4</v>
      </c>
      <c r="N760" t="s">
        <v>19</v>
      </c>
      <c r="O760">
        <v>4000</v>
      </c>
      <c r="P760" t="str" cm="1">
        <f t="array" ref="P760">_xlfn.IFS(Hospital_Patient[[#This Row],[Age]]&lt;=18,"Young",Hospital_Patient[[#This Row],[Age]]&lt;=36,"Adult",Hospital_Patient[[#This Row],[Age]]&lt;=60,"Middle Age",Hospital_Patient[[#This Row],[Age]]&gt;60,"Senior")</f>
        <v>Senior</v>
      </c>
      <c r="Q760" t="str" cm="1">
        <f t="array" ref="Q7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60">
        <f>YEAR(Hospital_Patient[[#This Row],[Discharge_Date]])</f>
        <v>2023</v>
      </c>
    </row>
    <row r="761" spans="1:18" x14ac:dyDescent="0.25">
      <c r="A761">
        <v>745</v>
      </c>
      <c r="B761">
        <v>45</v>
      </c>
      <c r="C761" t="s">
        <v>15</v>
      </c>
      <c r="D761" t="s">
        <v>39</v>
      </c>
      <c r="E761" t="s">
        <v>40</v>
      </c>
      <c r="F761" s="5">
        <v>44879</v>
      </c>
      <c r="G761" s="5">
        <v>44935</v>
      </c>
      <c r="H761" t="s">
        <v>18</v>
      </c>
      <c r="I761">
        <v>2022</v>
      </c>
      <c r="J761">
        <v>56</v>
      </c>
      <c r="K761" t="s">
        <v>19</v>
      </c>
      <c r="L761" t="s">
        <v>20</v>
      </c>
      <c r="M761">
        <v>3</v>
      </c>
      <c r="N761" t="s">
        <v>19</v>
      </c>
      <c r="O761">
        <v>8000</v>
      </c>
      <c r="P761" t="str" cm="1">
        <f t="array" ref="P761">_xlfn.IFS(Hospital_Patient[[#This Row],[Age]]&lt;=18,"Young",Hospital_Patient[[#This Row],[Age]]&lt;=36,"Adult",Hospital_Patient[[#This Row],[Age]]&lt;=60,"Middle Age",Hospital_Patient[[#This Row],[Age]]&gt;60,"Senior")</f>
        <v>Middle Age</v>
      </c>
      <c r="Q761" t="str" cm="1">
        <f t="array" ref="Q7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61">
        <f>YEAR(Hospital_Patient[[#This Row],[Discharge_Date]])</f>
        <v>2023</v>
      </c>
    </row>
    <row r="762" spans="1:18" x14ac:dyDescent="0.25">
      <c r="A762">
        <v>273</v>
      </c>
      <c r="B762">
        <v>45</v>
      </c>
      <c r="C762" t="s">
        <v>15</v>
      </c>
      <c r="D762" t="s">
        <v>39</v>
      </c>
      <c r="E762" t="s">
        <v>40</v>
      </c>
      <c r="F762" s="5">
        <v>44907</v>
      </c>
      <c r="G762" s="5">
        <v>44929</v>
      </c>
      <c r="H762" t="s">
        <v>41</v>
      </c>
      <c r="I762">
        <v>2022</v>
      </c>
      <c r="J762">
        <v>22</v>
      </c>
      <c r="K762" t="s">
        <v>19</v>
      </c>
      <c r="L762" t="s">
        <v>20</v>
      </c>
      <c r="M762">
        <v>3</v>
      </c>
      <c r="N762" t="s">
        <v>21</v>
      </c>
      <c r="O762">
        <v>8000</v>
      </c>
      <c r="P762" t="str" cm="1">
        <f t="array" ref="P762">_xlfn.IFS(Hospital_Patient[[#This Row],[Age]]&lt;=18,"Young",Hospital_Patient[[#This Row],[Age]]&lt;=36,"Adult",Hospital_Patient[[#This Row],[Age]]&lt;=60,"Middle Age",Hospital_Patient[[#This Row],[Age]]&gt;60,"Senior")</f>
        <v>Middle Age</v>
      </c>
      <c r="Q762" t="str" cm="1">
        <f t="array" ref="Q7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62">
        <f>YEAR(Hospital_Patient[[#This Row],[Discharge_Date]])</f>
        <v>2023</v>
      </c>
    </row>
    <row r="763" spans="1:18" hidden="1" x14ac:dyDescent="0.25">
      <c r="A763">
        <v>954</v>
      </c>
      <c r="B763">
        <v>25</v>
      </c>
      <c r="C763" t="s">
        <v>22</v>
      </c>
      <c r="D763" t="s">
        <v>47</v>
      </c>
      <c r="E763" t="s">
        <v>48</v>
      </c>
      <c r="F763" s="5">
        <v>44863</v>
      </c>
      <c r="G763" s="5">
        <v>44928</v>
      </c>
      <c r="H763" t="s">
        <v>41</v>
      </c>
      <c r="I763">
        <v>2022</v>
      </c>
      <c r="J763">
        <v>65</v>
      </c>
      <c r="K763" t="s">
        <v>19</v>
      </c>
      <c r="L763" t="s">
        <v>20</v>
      </c>
      <c r="M763">
        <v>5</v>
      </c>
      <c r="N763" t="s">
        <v>21</v>
      </c>
      <c r="O763">
        <v>100</v>
      </c>
      <c r="P763" t="str" cm="1">
        <f t="array" ref="P763">_xlfn.IFS(Hospital_Patient[[#This Row],[Age]]&lt;=18,"Young",Hospital_Patient[[#This Row],[Age]]&lt;=36,"Adult",Hospital_Patient[[#This Row],[Age]]&lt;=60,"Middle Age",Hospital_Patient[[#This Row],[Age]]&gt;60,"Senior")</f>
        <v>Adult</v>
      </c>
      <c r="Q763" t="str" cm="1">
        <f t="array" ref="Q7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63">
        <f>YEAR(Hospital_Patient[[#This Row],[Discharge_Date]])</f>
        <v>2023</v>
      </c>
    </row>
    <row r="764" spans="1:18" x14ac:dyDescent="0.25">
      <c r="A764">
        <v>477</v>
      </c>
      <c r="B764">
        <v>55</v>
      </c>
      <c r="C764" t="s">
        <v>15</v>
      </c>
      <c r="D764" t="s">
        <v>33</v>
      </c>
      <c r="E764" t="s">
        <v>34</v>
      </c>
      <c r="F764" s="5">
        <v>44885</v>
      </c>
      <c r="G764" s="5">
        <v>44927</v>
      </c>
      <c r="H764" t="s">
        <v>67</v>
      </c>
      <c r="I764">
        <v>2022</v>
      </c>
      <c r="J764">
        <v>42</v>
      </c>
      <c r="K764" t="s">
        <v>19</v>
      </c>
      <c r="L764" t="s">
        <v>20</v>
      </c>
      <c r="M764">
        <v>4</v>
      </c>
      <c r="N764" t="s">
        <v>21</v>
      </c>
      <c r="O764">
        <v>25000</v>
      </c>
      <c r="P764" t="str" cm="1">
        <f t="array" ref="P764">_xlfn.IFS(Hospital_Patient[[#This Row],[Age]]&lt;=18,"Young",Hospital_Patient[[#This Row],[Age]]&lt;=36,"Adult",Hospital_Patient[[#This Row],[Age]]&lt;=60,"Middle Age",Hospital_Patient[[#This Row],[Age]]&gt;60,"Senior")</f>
        <v>Middle Age</v>
      </c>
      <c r="Q764" t="str" cm="1">
        <f t="array" ref="Q7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64">
        <f>YEAR(Hospital_Patient[[#This Row],[Discharge_Date]])</f>
        <v>2023</v>
      </c>
    </row>
    <row r="765" spans="1:18" x14ac:dyDescent="0.25">
      <c r="A765">
        <v>953</v>
      </c>
      <c r="B765">
        <v>78</v>
      </c>
      <c r="C765" t="s">
        <v>15</v>
      </c>
      <c r="D765" t="s">
        <v>45</v>
      </c>
      <c r="E765" t="s">
        <v>46</v>
      </c>
      <c r="F765" s="5">
        <v>44851</v>
      </c>
      <c r="G765" s="5">
        <v>44923</v>
      </c>
      <c r="H765" t="s">
        <v>69</v>
      </c>
      <c r="I765">
        <v>2022</v>
      </c>
      <c r="J765">
        <v>72</v>
      </c>
      <c r="K765" t="s">
        <v>21</v>
      </c>
      <c r="L765" t="s">
        <v>26</v>
      </c>
      <c r="M765">
        <v>2</v>
      </c>
      <c r="N765" t="s">
        <v>19</v>
      </c>
      <c r="O765">
        <v>18000</v>
      </c>
      <c r="P765" t="str" cm="1">
        <f t="array" ref="P765">_xlfn.IFS(Hospital_Patient[[#This Row],[Age]]&lt;=18,"Young",Hospital_Patient[[#This Row],[Age]]&lt;=36,"Adult",Hospital_Patient[[#This Row],[Age]]&lt;=60,"Middle Age",Hospital_Patient[[#This Row],[Age]]&gt;60,"Senior")</f>
        <v>Senior</v>
      </c>
      <c r="Q765" t="str" cm="1">
        <f t="array" ref="Q7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65">
        <f>YEAR(Hospital_Patient[[#This Row],[Discharge_Date]])</f>
        <v>2022</v>
      </c>
    </row>
    <row r="766" spans="1:18" hidden="1" x14ac:dyDescent="0.25">
      <c r="A766">
        <v>666</v>
      </c>
      <c r="B766">
        <v>62</v>
      </c>
      <c r="C766" t="s">
        <v>22</v>
      </c>
      <c r="D766" t="s">
        <v>23</v>
      </c>
      <c r="E766" t="s">
        <v>24</v>
      </c>
      <c r="F766" s="5">
        <v>44872</v>
      </c>
      <c r="G766" s="5">
        <v>44920</v>
      </c>
      <c r="H766" t="s">
        <v>25</v>
      </c>
      <c r="I766">
        <v>2022</v>
      </c>
      <c r="J766">
        <v>48</v>
      </c>
      <c r="K766" t="s">
        <v>19</v>
      </c>
      <c r="L766" t="s">
        <v>26</v>
      </c>
      <c r="M766">
        <v>4</v>
      </c>
      <c r="N766" t="s">
        <v>19</v>
      </c>
      <c r="O766">
        <v>2000</v>
      </c>
      <c r="P766" t="str" cm="1">
        <f t="array" ref="P766">_xlfn.IFS(Hospital_Patient[[#This Row],[Age]]&lt;=18,"Young",Hospital_Patient[[#This Row],[Age]]&lt;=36,"Adult",Hospital_Patient[[#This Row],[Age]]&lt;=60,"Middle Age",Hospital_Patient[[#This Row],[Age]]&gt;60,"Senior")</f>
        <v>Senior</v>
      </c>
      <c r="Q766" t="str" cm="1">
        <f t="array" ref="Q7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66">
        <f>YEAR(Hospital_Patient[[#This Row],[Discharge_Date]])</f>
        <v>2022</v>
      </c>
    </row>
    <row r="767" spans="1:18" hidden="1" x14ac:dyDescent="0.25">
      <c r="A767">
        <v>904</v>
      </c>
      <c r="B767">
        <v>78</v>
      </c>
      <c r="C767" t="s">
        <v>22</v>
      </c>
      <c r="D767" t="s">
        <v>30</v>
      </c>
      <c r="E767" t="s">
        <v>31</v>
      </c>
      <c r="F767" s="5">
        <v>44851</v>
      </c>
      <c r="G767" s="5">
        <v>44920</v>
      </c>
      <c r="H767" t="s">
        <v>63</v>
      </c>
      <c r="I767">
        <v>2022</v>
      </c>
      <c r="J767">
        <v>69</v>
      </c>
      <c r="K767" t="s">
        <v>19</v>
      </c>
      <c r="L767" t="s">
        <v>26</v>
      </c>
      <c r="M767">
        <v>2</v>
      </c>
      <c r="N767" t="s">
        <v>21</v>
      </c>
      <c r="O767">
        <v>10000</v>
      </c>
      <c r="P767" t="str" cm="1">
        <f t="array" ref="P767">_xlfn.IFS(Hospital_Patient[[#This Row],[Age]]&lt;=18,"Young",Hospital_Patient[[#This Row],[Age]]&lt;=36,"Adult",Hospital_Patient[[#This Row],[Age]]&lt;=60,"Middle Age",Hospital_Patient[[#This Row],[Age]]&gt;60,"Senior")</f>
        <v>Senior</v>
      </c>
      <c r="Q767" t="str" cm="1">
        <f t="array" ref="Q7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67">
        <f>YEAR(Hospital_Patient[[#This Row],[Discharge_Date]])</f>
        <v>2022</v>
      </c>
    </row>
    <row r="768" spans="1:18" x14ac:dyDescent="0.25">
      <c r="A768">
        <v>133</v>
      </c>
      <c r="B768">
        <v>65</v>
      </c>
      <c r="C768" t="s">
        <v>15</v>
      </c>
      <c r="D768" t="s">
        <v>59</v>
      </c>
      <c r="E768" t="s">
        <v>60</v>
      </c>
      <c r="F768" s="5">
        <v>44906</v>
      </c>
      <c r="G768" s="5">
        <v>44919</v>
      </c>
      <c r="H768" t="s">
        <v>75</v>
      </c>
      <c r="I768">
        <v>2022</v>
      </c>
      <c r="J768">
        <v>13</v>
      </c>
      <c r="K768" t="s">
        <v>19</v>
      </c>
      <c r="L768" t="s">
        <v>26</v>
      </c>
      <c r="M768">
        <v>4</v>
      </c>
      <c r="N768" t="s">
        <v>21</v>
      </c>
      <c r="O768">
        <v>4000</v>
      </c>
      <c r="P768" t="str" cm="1">
        <f t="array" ref="P768">_xlfn.IFS(Hospital_Patient[[#This Row],[Age]]&lt;=18,"Young",Hospital_Patient[[#This Row],[Age]]&lt;=36,"Adult",Hospital_Patient[[#This Row],[Age]]&lt;=60,"Middle Age",Hospital_Patient[[#This Row],[Age]]&gt;60,"Senior")</f>
        <v>Senior</v>
      </c>
      <c r="Q768" t="str" cm="1">
        <f t="array" ref="Q7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68">
        <f>YEAR(Hospital_Patient[[#This Row],[Discharge_Date]])</f>
        <v>2022</v>
      </c>
    </row>
    <row r="769" spans="1:18" x14ac:dyDescent="0.25">
      <c r="A769">
        <v>275</v>
      </c>
      <c r="B769">
        <v>78</v>
      </c>
      <c r="C769" t="s">
        <v>15</v>
      </c>
      <c r="D769" t="s">
        <v>45</v>
      </c>
      <c r="E769" t="s">
        <v>46</v>
      </c>
      <c r="F769" s="5">
        <v>44891</v>
      </c>
      <c r="G769" s="5">
        <v>44917</v>
      </c>
      <c r="H769" t="s">
        <v>69</v>
      </c>
      <c r="I769">
        <v>2022</v>
      </c>
      <c r="J769">
        <v>26</v>
      </c>
      <c r="K769" t="s">
        <v>21</v>
      </c>
      <c r="L769" t="s">
        <v>26</v>
      </c>
      <c r="M769">
        <v>2</v>
      </c>
      <c r="N769" t="s">
        <v>21</v>
      </c>
      <c r="O769">
        <v>18000</v>
      </c>
      <c r="P769" t="str" cm="1">
        <f t="array" ref="P769">_xlfn.IFS(Hospital_Patient[[#This Row],[Age]]&lt;=18,"Young",Hospital_Patient[[#This Row],[Age]]&lt;=36,"Adult",Hospital_Patient[[#This Row],[Age]]&lt;=60,"Middle Age",Hospital_Patient[[#This Row],[Age]]&gt;60,"Senior")</f>
        <v>Senior</v>
      </c>
      <c r="Q769" t="str" cm="1">
        <f t="array" ref="Q7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69">
        <f>YEAR(Hospital_Patient[[#This Row],[Discharge_Date]])</f>
        <v>2022</v>
      </c>
    </row>
    <row r="770" spans="1:18" x14ac:dyDescent="0.25">
      <c r="A770">
        <v>463</v>
      </c>
      <c r="B770">
        <v>53</v>
      </c>
      <c r="C770" t="s">
        <v>15</v>
      </c>
      <c r="D770" t="s">
        <v>33</v>
      </c>
      <c r="E770" t="s">
        <v>34</v>
      </c>
      <c r="F770" s="5">
        <v>44871</v>
      </c>
      <c r="G770" s="5">
        <v>44912</v>
      </c>
      <c r="H770" t="s">
        <v>64</v>
      </c>
      <c r="I770">
        <v>2022</v>
      </c>
      <c r="J770">
        <v>41</v>
      </c>
      <c r="K770" t="s">
        <v>21</v>
      </c>
      <c r="L770" t="s">
        <v>20</v>
      </c>
      <c r="M770">
        <v>4</v>
      </c>
      <c r="N770" t="s">
        <v>19</v>
      </c>
      <c r="O770">
        <v>25000</v>
      </c>
      <c r="P770" t="str" cm="1">
        <f t="array" ref="P770">_xlfn.IFS(Hospital_Patient[[#This Row],[Age]]&lt;=18,"Young",Hospital_Patient[[#This Row],[Age]]&lt;=36,"Adult",Hospital_Patient[[#This Row],[Age]]&lt;=60,"Middle Age",Hospital_Patient[[#This Row],[Age]]&gt;60,"Senior")</f>
        <v>Middle Age</v>
      </c>
      <c r="Q770" t="str" cm="1">
        <f t="array" ref="Q7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70">
        <f>YEAR(Hospital_Patient[[#This Row],[Discharge_Date]])</f>
        <v>2022</v>
      </c>
    </row>
    <row r="771" spans="1:18" x14ac:dyDescent="0.25">
      <c r="A771">
        <v>785</v>
      </c>
      <c r="B771">
        <v>35</v>
      </c>
      <c r="C771" t="s">
        <v>15</v>
      </c>
      <c r="D771" t="s">
        <v>27</v>
      </c>
      <c r="E771" t="s">
        <v>28</v>
      </c>
      <c r="F771" s="5">
        <v>44857</v>
      </c>
      <c r="G771" s="5">
        <v>44911</v>
      </c>
      <c r="H771" t="s">
        <v>70</v>
      </c>
      <c r="I771">
        <v>2022</v>
      </c>
      <c r="J771">
        <v>54</v>
      </c>
      <c r="K771" t="s">
        <v>21</v>
      </c>
      <c r="L771" t="s">
        <v>20</v>
      </c>
      <c r="M771">
        <v>5</v>
      </c>
      <c r="N771" t="s">
        <v>21</v>
      </c>
      <c r="O771">
        <v>500</v>
      </c>
      <c r="P771" t="str" cm="1">
        <f t="array" ref="P771">_xlfn.IFS(Hospital_Patient[[#This Row],[Age]]&lt;=18,"Young",Hospital_Patient[[#This Row],[Age]]&lt;=36,"Adult",Hospital_Patient[[#This Row],[Age]]&lt;=60,"Middle Age",Hospital_Patient[[#This Row],[Age]]&gt;60,"Senior")</f>
        <v>Adult</v>
      </c>
      <c r="Q771" t="str" cm="1">
        <f t="array" ref="Q7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71">
        <f>YEAR(Hospital_Patient[[#This Row],[Discharge_Date]])</f>
        <v>2022</v>
      </c>
    </row>
    <row r="772" spans="1:18" hidden="1" x14ac:dyDescent="0.25">
      <c r="A772">
        <v>535</v>
      </c>
      <c r="B772">
        <v>70</v>
      </c>
      <c r="C772" t="s">
        <v>22</v>
      </c>
      <c r="D772" t="s">
        <v>30</v>
      </c>
      <c r="E772" t="s">
        <v>31</v>
      </c>
      <c r="F772" s="5">
        <v>44864</v>
      </c>
      <c r="G772" s="5">
        <v>44908</v>
      </c>
      <c r="H772" t="s">
        <v>32</v>
      </c>
      <c r="I772">
        <v>2022</v>
      </c>
      <c r="J772">
        <v>44</v>
      </c>
      <c r="K772" t="s">
        <v>21</v>
      </c>
      <c r="L772" t="s">
        <v>26</v>
      </c>
      <c r="M772">
        <v>2</v>
      </c>
      <c r="N772" t="s">
        <v>19</v>
      </c>
      <c r="O772">
        <v>10000</v>
      </c>
      <c r="P772" t="str" cm="1">
        <f t="array" ref="P772">_xlfn.IFS(Hospital_Patient[[#This Row],[Age]]&lt;=18,"Young",Hospital_Patient[[#This Row],[Age]]&lt;=36,"Adult",Hospital_Patient[[#This Row],[Age]]&lt;=60,"Middle Age",Hospital_Patient[[#This Row],[Age]]&gt;60,"Senior")</f>
        <v>Senior</v>
      </c>
      <c r="Q772" t="str" cm="1">
        <f t="array" ref="Q7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72">
        <f>YEAR(Hospital_Patient[[#This Row],[Discharge_Date]])</f>
        <v>2022</v>
      </c>
    </row>
    <row r="773" spans="1:18" hidden="1" x14ac:dyDescent="0.25">
      <c r="A773">
        <v>392</v>
      </c>
      <c r="B773">
        <v>40</v>
      </c>
      <c r="C773" t="s">
        <v>22</v>
      </c>
      <c r="D773" t="s">
        <v>42</v>
      </c>
      <c r="E773" t="s">
        <v>43</v>
      </c>
      <c r="F773" s="5">
        <v>44873</v>
      </c>
      <c r="G773" s="5">
        <v>44905</v>
      </c>
      <c r="H773" t="s">
        <v>44</v>
      </c>
      <c r="I773">
        <v>2022</v>
      </c>
      <c r="J773">
        <v>32</v>
      </c>
      <c r="K773" t="s">
        <v>19</v>
      </c>
      <c r="L773" t="s">
        <v>20</v>
      </c>
      <c r="M773">
        <v>4</v>
      </c>
      <c r="N773" t="s">
        <v>19</v>
      </c>
      <c r="O773">
        <v>3000</v>
      </c>
      <c r="P773" t="str" cm="1">
        <f t="array" ref="P773">_xlfn.IFS(Hospital_Patient[[#This Row],[Age]]&lt;=18,"Young",Hospital_Patient[[#This Row],[Age]]&lt;=36,"Adult",Hospital_Patient[[#This Row],[Age]]&lt;=60,"Middle Age",Hospital_Patient[[#This Row],[Age]]&gt;60,"Senior")</f>
        <v>Middle Age</v>
      </c>
      <c r="Q773" t="str" cm="1">
        <f t="array" ref="Q7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73">
        <f>YEAR(Hospital_Patient[[#This Row],[Discharge_Date]])</f>
        <v>2022</v>
      </c>
    </row>
    <row r="774" spans="1:18" hidden="1" x14ac:dyDescent="0.25">
      <c r="A774">
        <v>283</v>
      </c>
      <c r="B774">
        <v>62</v>
      </c>
      <c r="C774" t="s">
        <v>22</v>
      </c>
      <c r="D774" t="s">
        <v>23</v>
      </c>
      <c r="E774" t="s">
        <v>24</v>
      </c>
      <c r="F774" s="5">
        <v>44882</v>
      </c>
      <c r="G774" s="5">
        <v>44904</v>
      </c>
      <c r="H774" t="s">
        <v>73</v>
      </c>
      <c r="I774">
        <v>2022</v>
      </c>
      <c r="J774">
        <v>22</v>
      </c>
      <c r="K774" t="s">
        <v>19</v>
      </c>
      <c r="L774" t="s">
        <v>26</v>
      </c>
      <c r="M774">
        <v>4</v>
      </c>
      <c r="N774" t="s">
        <v>19</v>
      </c>
      <c r="O774">
        <v>2000</v>
      </c>
      <c r="P774" t="str" cm="1">
        <f t="array" ref="P774">_xlfn.IFS(Hospital_Patient[[#This Row],[Age]]&lt;=18,"Young",Hospital_Patient[[#This Row],[Age]]&lt;=36,"Adult",Hospital_Patient[[#This Row],[Age]]&lt;=60,"Middle Age",Hospital_Patient[[#This Row],[Age]]&gt;60,"Senior")</f>
        <v>Senior</v>
      </c>
      <c r="Q774" t="str" cm="1">
        <f t="array" ref="Q7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74">
        <f>YEAR(Hospital_Patient[[#This Row],[Discharge_Date]])</f>
        <v>2022</v>
      </c>
    </row>
    <row r="775" spans="1:18" x14ac:dyDescent="0.25">
      <c r="A775">
        <v>83</v>
      </c>
      <c r="B775">
        <v>75</v>
      </c>
      <c r="C775" t="s">
        <v>15</v>
      </c>
      <c r="D775" t="s">
        <v>45</v>
      </c>
      <c r="E775" t="s">
        <v>46</v>
      </c>
      <c r="F775" s="5">
        <v>44890</v>
      </c>
      <c r="G775" s="5">
        <v>44903</v>
      </c>
      <c r="H775" t="s">
        <v>69</v>
      </c>
      <c r="I775">
        <v>2022</v>
      </c>
      <c r="J775">
        <v>13</v>
      </c>
      <c r="K775" t="s">
        <v>21</v>
      </c>
      <c r="L775" t="s">
        <v>26</v>
      </c>
      <c r="M775">
        <v>2</v>
      </c>
      <c r="N775" t="s">
        <v>19</v>
      </c>
      <c r="O775">
        <v>18000</v>
      </c>
      <c r="P775" t="str" cm="1">
        <f t="array" ref="P775">_xlfn.IFS(Hospital_Patient[[#This Row],[Age]]&lt;=18,"Young",Hospital_Patient[[#This Row],[Age]]&lt;=36,"Adult",Hospital_Patient[[#This Row],[Age]]&lt;=60,"Middle Age",Hospital_Patient[[#This Row],[Age]]&gt;60,"Senior")</f>
        <v>Senior</v>
      </c>
      <c r="Q775" t="str" cm="1">
        <f t="array" ref="Q7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75">
        <f>YEAR(Hospital_Patient[[#This Row],[Discharge_Date]])</f>
        <v>2022</v>
      </c>
    </row>
    <row r="776" spans="1:18" x14ac:dyDescent="0.25">
      <c r="A776">
        <v>874</v>
      </c>
      <c r="B776">
        <v>35</v>
      </c>
      <c r="C776" t="s">
        <v>15</v>
      </c>
      <c r="D776" t="s">
        <v>27</v>
      </c>
      <c r="E776" t="s">
        <v>28</v>
      </c>
      <c r="F776" s="5">
        <v>44842</v>
      </c>
      <c r="G776" s="5">
        <v>44902</v>
      </c>
      <c r="H776" t="s">
        <v>29</v>
      </c>
      <c r="I776">
        <v>2022</v>
      </c>
      <c r="J776">
        <v>60</v>
      </c>
      <c r="K776" t="s">
        <v>21</v>
      </c>
      <c r="L776" t="s">
        <v>20</v>
      </c>
      <c r="M776">
        <v>5</v>
      </c>
      <c r="N776" t="s">
        <v>21</v>
      </c>
      <c r="O776">
        <v>500</v>
      </c>
      <c r="P776" t="str" cm="1">
        <f t="array" ref="P776">_xlfn.IFS(Hospital_Patient[[#This Row],[Age]]&lt;=18,"Young",Hospital_Patient[[#This Row],[Age]]&lt;=36,"Adult",Hospital_Patient[[#This Row],[Age]]&lt;=60,"Middle Age",Hospital_Patient[[#This Row],[Age]]&gt;60,"Senior")</f>
        <v>Adult</v>
      </c>
      <c r="Q776" t="str" cm="1">
        <f t="array" ref="Q7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76">
        <f>YEAR(Hospital_Patient[[#This Row],[Discharge_Date]])</f>
        <v>2022</v>
      </c>
    </row>
    <row r="777" spans="1:18" hidden="1" x14ac:dyDescent="0.25">
      <c r="A777">
        <v>99</v>
      </c>
      <c r="B777">
        <v>25</v>
      </c>
      <c r="C777" t="s">
        <v>22</v>
      </c>
      <c r="D777" t="s">
        <v>47</v>
      </c>
      <c r="E777" t="s">
        <v>48</v>
      </c>
      <c r="F777" s="5">
        <v>44894</v>
      </c>
      <c r="G777" s="5">
        <v>44901</v>
      </c>
      <c r="H777" t="s">
        <v>18</v>
      </c>
      <c r="I777">
        <v>2022</v>
      </c>
      <c r="J777">
        <v>7</v>
      </c>
      <c r="K777" t="s">
        <v>19</v>
      </c>
      <c r="L777" t="s">
        <v>20</v>
      </c>
      <c r="M777">
        <v>5</v>
      </c>
      <c r="N777" t="s">
        <v>21</v>
      </c>
      <c r="O777">
        <v>100</v>
      </c>
      <c r="P777" t="str" cm="1">
        <f t="array" ref="P777">_xlfn.IFS(Hospital_Patient[[#This Row],[Age]]&lt;=18,"Young",Hospital_Patient[[#This Row],[Age]]&lt;=36,"Adult",Hospital_Patient[[#This Row],[Age]]&lt;=60,"Middle Age",Hospital_Patient[[#This Row],[Age]]&gt;60,"Senior")</f>
        <v>Adult</v>
      </c>
      <c r="Q777" t="str" cm="1">
        <f t="array" ref="Q7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777">
        <f>YEAR(Hospital_Patient[[#This Row],[Discharge_Date]])</f>
        <v>2022</v>
      </c>
    </row>
    <row r="778" spans="1:18" hidden="1" x14ac:dyDescent="0.25">
      <c r="A778">
        <v>971</v>
      </c>
      <c r="B778">
        <v>67</v>
      </c>
      <c r="C778" t="s">
        <v>22</v>
      </c>
      <c r="D778" t="s">
        <v>52</v>
      </c>
      <c r="E778" t="s">
        <v>53</v>
      </c>
      <c r="F778" s="5">
        <v>44827</v>
      </c>
      <c r="G778" s="5">
        <v>44901</v>
      </c>
      <c r="H778" t="s">
        <v>51</v>
      </c>
      <c r="I778">
        <v>2022</v>
      </c>
      <c r="J778">
        <v>74</v>
      </c>
      <c r="K778" t="s">
        <v>19</v>
      </c>
      <c r="L778" t="s">
        <v>20</v>
      </c>
      <c r="M778">
        <v>3</v>
      </c>
      <c r="N778" t="s">
        <v>19</v>
      </c>
      <c r="O778">
        <v>20000</v>
      </c>
      <c r="P778" t="str" cm="1">
        <f t="array" ref="P778">_xlfn.IFS(Hospital_Patient[[#This Row],[Age]]&lt;=18,"Young",Hospital_Patient[[#This Row],[Age]]&lt;=36,"Adult",Hospital_Patient[[#This Row],[Age]]&lt;=60,"Middle Age",Hospital_Patient[[#This Row],[Age]]&gt;60,"Senior")</f>
        <v>Senior</v>
      </c>
      <c r="Q778" t="str" cm="1">
        <f t="array" ref="Q7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78">
        <f>YEAR(Hospital_Patient[[#This Row],[Discharge_Date]])</f>
        <v>2022</v>
      </c>
    </row>
    <row r="779" spans="1:18" hidden="1" x14ac:dyDescent="0.25">
      <c r="A779">
        <v>93</v>
      </c>
      <c r="B779">
        <v>70</v>
      </c>
      <c r="C779" t="s">
        <v>22</v>
      </c>
      <c r="D779" t="s">
        <v>30</v>
      </c>
      <c r="E779" t="s">
        <v>31</v>
      </c>
      <c r="F779" s="5">
        <v>44884</v>
      </c>
      <c r="G779" s="5">
        <v>44897</v>
      </c>
      <c r="H779" t="s">
        <v>32</v>
      </c>
      <c r="I779">
        <v>2022</v>
      </c>
      <c r="J779">
        <v>13</v>
      </c>
      <c r="K779" t="s">
        <v>21</v>
      </c>
      <c r="L779" t="s">
        <v>26</v>
      </c>
      <c r="M779">
        <v>2</v>
      </c>
      <c r="N779" t="s">
        <v>19</v>
      </c>
      <c r="O779">
        <v>10000</v>
      </c>
      <c r="P779" t="str" cm="1">
        <f t="array" ref="P779">_xlfn.IFS(Hospital_Patient[[#This Row],[Age]]&lt;=18,"Young",Hospital_Patient[[#This Row],[Age]]&lt;=36,"Adult",Hospital_Patient[[#This Row],[Age]]&lt;=60,"Middle Age",Hospital_Patient[[#This Row],[Age]]&gt;60,"Senior")</f>
        <v>Senior</v>
      </c>
      <c r="Q779" t="str" cm="1">
        <f t="array" ref="Q7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79">
        <f>YEAR(Hospital_Patient[[#This Row],[Discharge_Date]])</f>
        <v>2022</v>
      </c>
    </row>
    <row r="780" spans="1:18" x14ac:dyDescent="0.25">
      <c r="A780">
        <v>410</v>
      </c>
      <c r="B780">
        <v>52</v>
      </c>
      <c r="C780" t="s">
        <v>15</v>
      </c>
      <c r="D780" t="s">
        <v>49</v>
      </c>
      <c r="E780" t="s">
        <v>50</v>
      </c>
      <c r="F780" s="5">
        <v>44868</v>
      </c>
      <c r="G780" s="5">
        <v>44897</v>
      </c>
      <c r="H780" t="s">
        <v>51</v>
      </c>
      <c r="I780">
        <v>2022</v>
      </c>
      <c r="J780">
        <v>29</v>
      </c>
      <c r="K780" t="s">
        <v>19</v>
      </c>
      <c r="L780" t="s">
        <v>26</v>
      </c>
      <c r="M780">
        <v>4</v>
      </c>
      <c r="N780" t="s">
        <v>21</v>
      </c>
      <c r="O780">
        <v>800</v>
      </c>
      <c r="P780" t="str" cm="1">
        <f t="array" ref="P780">_xlfn.IFS(Hospital_Patient[[#This Row],[Age]]&lt;=18,"Young",Hospital_Patient[[#This Row],[Age]]&lt;=36,"Adult",Hospital_Patient[[#This Row],[Age]]&lt;=60,"Middle Age",Hospital_Patient[[#This Row],[Age]]&gt;60,"Senior")</f>
        <v>Middle Age</v>
      </c>
      <c r="Q780" t="str" cm="1">
        <f t="array" ref="Q7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80">
        <f>YEAR(Hospital_Patient[[#This Row],[Discharge_Date]])</f>
        <v>2022</v>
      </c>
    </row>
    <row r="781" spans="1:18" hidden="1" x14ac:dyDescent="0.25">
      <c r="A781">
        <v>725</v>
      </c>
      <c r="B781">
        <v>62</v>
      </c>
      <c r="C781" t="s">
        <v>22</v>
      </c>
      <c r="D781" t="s">
        <v>23</v>
      </c>
      <c r="E781" t="s">
        <v>24</v>
      </c>
      <c r="F781" s="5">
        <v>44845</v>
      </c>
      <c r="G781" s="5">
        <v>44897</v>
      </c>
      <c r="H781" t="s">
        <v>73</v>
      </c>
      <c r="I781">
        <v>2022</v>
      </c>
      <c r="J781">
        <v>52</v>
      </c>
      <c r="K781" t="s">
        <v>19</v>
      </c>
      <c r="L781" t="s">
        <v>26</v>
      </c>
      <c r="M781">
        <v>4</v>
      </c>
      <c r="N781" t="s">
        <v>19</v>
      </c>
      <c r="O781">
        <v>2000</v>
      </c>
      <c r="P781" t="str" cm="1">
        <f t="array" ref="P781">_xlfn.IFS(Hospital_Patient[[#This Row],[Age]]&lt;=18,"Young",Hospital_Patient[[#This Row],[Age]]&lt;=36,"Adult",Hospital_Patient[[#This Row],[Age]]&lt;=60,"Middle Age",Hospital_Patient[[#This Row],[Age]]&gt;60,"Senior")</f>
        <v>Senior</v>
      </c>
      <c r="Q781" t="str" cm="1">
        <f t="array" ref="Q7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81">
        <f>YEAR(Hospital_Patient[[#This Row],[Discharge_Date]])</f>
        <v>2022</v>
      </c>
    </row>
    <row r="782" spans="1:18" x14ac:dyDescent="0.25">
      <c r="A782">
        <v>483</v>
      </c>
      <c r="B782">
        <v>52</v>
      </c>
      <c r="C782" t="s">
        <v>15</v>
      </c>
      <c r="D782" t="s">
        <v>49</v>
      </c>
      <c r="E782" t="s">
        <v>50</v>
      </c>
      <c r="F782" s="5">
        <v>44862</v>
      </c>
      <c r="G782" s="5">
        <v>44896</v>
      </c>
      <c r="H782" t="s">
        <v>51</v>
      </c>
      <c r="I782">
        <v>2022</v>
      </c>
      <c r="J782">
        <v>34</v>
      </c>
      <c r="K782" t="s">
        <v>19</v>
      </c>
      <c r="L782" t="s">
        <v>26</v>
      </c>
      <c r="M782">
        <v>4</v>
      </c>
      <c r="N782" t="s">
        <v>19</v>
      </c>
      <c r="O782">
        <v>800</v>
      </c>
      <c r="P782" t="str" cm="1">
        <f t="array" ref="P782">_xlfn.IFS(Hospital_Patient[[#This Row],[Age]]&lt;=18,"Young",Hospital_Patient[[#This Row],[Age]]&lt;=36,"Adult",Hospital_Patient[[#This Row],[Age]]&lt;=60,"Middle Age",Hospital_Patient[[#This Row],[Age]]&gt;60,"Senior")</f>
        <v>Middle Age</v>
      </c>
      <c r="Q782" t="str" cm="1">
        <f t="array" ref="Q7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82">
        <f>YEAR(Hospital_Patient[[#This Row],[Discharge_Date]])</f>
        <v>2022</v>
      </c>
    </row>
    <row r="783" spans="1:18" x14ac:dyDescent="0.25">
      <c r="A783">
        <v>140</v>
      </c>
      <c r="B783">
        <v>60</v>
      </c>
      <c r="C783" t="s">
        <v>15</v>
      </c>
      <c r="D783" t="s">
        <v>39</v>
      </c>
      <c r="E783" t="s">
        <v>40</v>
      </c>
      <c r="F783" s="5">
        <v>44882</v>
      </c>
      <c r="G783" s="5">
        <v>44895</v>
      </c>
      <c r="H783" t="s">
        <v>41</v>
      </c>
      <c r="I783">
        <v>2022</v>
      </c>
      <c r="J783">
        <v>13</v>
      </c>
      <c r="K783" t="s">
        <v>21</v>
      </c>
      <c r="L783" t="s">
        <v>20</v>
      </c>
      <c r="M783">
        <v>3</v>
      </c>
      <c r="N783" t="s">
        <v>19</v>
      </c>
      <c r="O783">
        <v>8000</v>
      </c>
      <c r="P783" t="str" cm="1">
        <f t="array" ref="P783">_xlfn.IFS(Hospital_Patient[[#This Row],[Age]]&lt;=18,"Young",Hospital_Patient[[#This Row],[Age]]&lt;=36,"Adult",Hospital_Patient[[#This Row],[Age]]&lt;=60,"Middle Age",Hospital_Patient[[#This Row],[Age]]&gt;60,"Senior")</f>
        <v>Middle Age</v>
      </c>
      <c r="Q783" t="str" cm="1">
        <f t="array" ref="Q7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83">
        <f>YEAR(Hospital_Patient[[#This Row],[Discharge_Date]])</f>
        <v>2022</v>
      </c>
    </row>
    <row r="784" spans="1:18" x14ac:dyDescent="0.25">
      <c r="A784">
        <v>295</v>
      </c>
      <c r="B784">
        <v>60</v>
      </c>
      <c r="C784" t="s">
        <v>15</v>
      </c>
      <c r="D784" t="s">
        <v>59</v>
      </c>
      <c r="E784" t="s">
        <v>60</v>
      </c>
      <c r="F784" s="5">
        <v>44869</v>
      </c>
      <c r="G784" s="5">
        <v>44893</v>
      </c>
      <c r="H784" t="s">
        <v>61</v>
      </c>
      <c r="I784">
        <v>2022</v>
      </c>
      <c r="J784">
        <v>24</v>
      </c>
      <c r="K784" t="s">
        <v>19</v>
      </c>
      <c r="L784" t="s">
        <v>26</v>
      </c>
      <c r="M784">
        <v>4</v>
      </c>
      <c r="N784" t="s">
        <v>21</v>
      </c>
      <c r="O784">
        <v>4000</v>
      </c>
      <c r="P784" t="str" cm="1">
        <f t="array" ref="P784">_xlfn.IFS(Hospital_Patient[[#This Row],[Age]]&lt;=18,"Young",Hospital_Patient[[#This Row],[Age]]&lt;=36,"Adult",Hospital_Patient[[#This Row],[Age]]&lt;=60,"Middle Age",Hospital_Patient[[#This Row],[Age]]&gt;60,"Senior")</f>
        <v>Middle Age</v>
      </c>
      <c r="Q784" t="str" cm="1">
        <f t="array" ref="Q7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84">
        <f>YEAR(Hospital_Patient[[#This Row],[Discharge_Date]])</f>
        <v>2022</v>
      </c>
    </row>
    <row r="785" spans="1:18" x14ac:dyDescent="0.25">
      <c r="A785">
        <v>726</v>
      </c>
      <c r="B785">
        <v>35</v>
      </c>
      <c r="C785" t="s">
        <v>15</v>
      </c>
      <c r="D785" t="s">
        <v>27</v>
      </c>
      <c r="E785" t="s">
        <v>28</v>
      </c>
      <c r="F785" s="5">
        <v>44843</v>
      </c>
      <c r="G785" s="5">
        <v>44893</v>
      </c>
      <c r="H785" t="s">
        <v>29</v>
      </c>
      <c r="I785">
        <v>2022</v>
      </c>
      <c r="J785">
        <v>50</v>
      </c>
      <c r="K785" t="s">
        <v>21</v>
      </c>
      <c r="L785" t="s">
        <v>20</v>
      </c>
      <c r="M785">
        <v>5</v>
      </c>
      <c r="N785" t="s">
        <v>19</v>
      </c>
      <c r="O785">
        <v>500</v>
      </c>
      <c r="P785" t="str" cm="1">
        <f t="array" ref="P785">_xlfn.IFS(Hospital_Patient[[#This Row],[Age]]&lt;=18,"Young",Hospital_Patient[[#This Row],[Age]]&lt;=36,"Adult",Hospital_Patient[[#This Row],[Age]]&lt;=60,"Middle Age",Hospital_Patient[[#This Row],[Age]]&gt;60,"Senior")</f>
        <v>Adult</v>
      </c>
      <c r="Q785" t="str" cm="1">
        <f t="array" ref="Q7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85">
        <f>YEAR(Hospital_Patient[[#This Row],[Discharge_Date]])</f>
        <v>2022</v>
      </c>
    </row>
    <row r="786" spans="1:18" x14ac:dyDescent="0.25">
      <c r="A786">
        <v>323</v>
      </c>
      <c r="B786">
        <v>35</v>
      </c>
      <c r="C786" t="s">
        <v>15</v>
      </c>
      <c r="D786" t="s">
        <v>54</v>
      </c>
      <c r="E786" t="s">
        <v>55</v>
      </c>
      <c r="F786" s="5">
        <v>44864</v>
      </c>
      <c r="G786" s="5">
        <v>44888</v>
      </c>
      <c r="H786" t="s">
        <v>68</v>
      </c>
      <c r="I786">
        <v>2022</v>
      </c>
      <c r="J786">
        <v>24</v>
      </c>
      <c r="K786" t="s">
        <v>19</v>
      </c>
      <c r="L786" t="s">
        <v>20</v>
      </c>
      <c r="M786">
        <v>4</v>
      </c>
      <c r="N786" t="s">
        <v>21</v>
      </c>
      <c r="O786">
        <v>12000</v>
      </c>
      <c r="P786" t="str" cm="1">
        <f t="array" ref="P786">_xlfn.IFS(Hospital_Patient[[#This Row],[Age]]&lt;=18,"Young",Hospital_Patient[[#This Row],[Age]]&lt;=36,"Adult",Hospital_Patient[[#This Row],[Age]]&lt;=60,"Middle Age",Hospital_Patient[[#This Row],[Age]]&gt;60,"Senior")</f>
        <v>Adult</v>
      </c>
      <c r="Q786" t="str" cm="1">
        <f t="array" ref="Q7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86">
        <f>YEAR(Hospital_Patient[[#This Row],[Discharge_Date]])</f>
        <v>2022</v>
      </c>
    </row>
    <row r="787" spans="1:18" x14ac:dyDescent="0.25">
      <c r="A787">
        <v>127</v>
      </c>
      <c r="B787">
        <v>78</v>
      </c>
      <c r="C787" t="s">
        <v>15</v>
      </c>
      <c r="D787" t="s">
        <v>45</v>
      </c>
      <c r="E787" t="s">
        <v>46</v>
      </c>
      <c r="F787" s="5">
        <v>44871</v>
      </c>
      <c r="G787" s="5">
        <v>44887</v>
      </c>
      <c r="H787" t="s">
        <v>65</v>
      </c>
      <c r="I787">
        <v>2022</v>
      </c>
      <c r="J787">
        <v>16</v>
      </c>
      <c r="K787" t="s">
        <v>21</v>
      </c>
      <c r="L787" t="s">
        <v>26</v>
      </c>
      <c r="M787">
        <v>2</v>
      </c>
      <c r="N787" t="s">
        <v>19</v>
      </c>
      <c r="O787">
        <v>18000</v>
      </c>
      <c r="P787" t="str" cm="1">
        <f t="array" ref="P787">_xlfn.IFS(Hospital_Patient[[#This Row],[Age]]&lt;=18,"Young",Hospital_Patient[[#This Row],[Age]]&lt;=36,"Adult",Hospital_Patient[[#This Row],[Age]]&lt;=60,"Middle Age",Hospital_Patient[[#This Row],[Age]]&gt;60,"Senior")</f>
        <v>Senior</v>
      </c>
      <c r="Q787" t="str" cm="1">
        <f t="array" ref="Q7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87">
        <f>YEAR(Hospital_Patient[[#This Row],[Discharge_Date]])</f>
        <v>2022</v>
      </c>
    </row>
    <row r="788" spans="1:18" hidden="1" x14ac:dyDescent="0.25">
      <c r="A788">
        <v>390</v>
      </c>
      <c r="B788">
        <v>68</v>
      </c>
      <c r="C788" t="s">
        <v>22</v>
      </c>
      <c r="D788" t="s">
        <v>36</v>
      </c>
      <c r="E788" t="s">
        <v>37</v>
      </c>
      <c r="F788" s="5">
        <v>44858</v>
      </c>
      <c r="G788" s="5">
        <v>44886</v>
      </c>
      <c r="H788" t="s">
        <v>38</v>
      </c>
      <c r="I788">
        <v>2022</v>
      </c>
      <c r="J788">
        <v>28</v>
      </c>
      <c r="K788" t="s">
        <v>19</v>
      </c>
      <c r="L788" t="s">
        <v>26</v>
      </c>
      <c r="M788">
        <v>4</v>
      </c>
      <c r="N788" t="s">
        <v>19</v>
      </c>
      <c r="O788">
        <v>1000</v>
      </c>
      <c r="P788" t="str" cm="1">
        <f t="array" ref="P788">_xlfn.IFS(Hospital_Patient[[#This Row],[Age]]&lt;=18,"Young",Hospital_Patient[[#This Row],[Age]]&lt;=36,"Adult",Hospital_Patient[[#This Row],[Age]]&lt;=60,"Middle Age",Hospital_Patient[[#This Row],[Age]]&gt;60,"Senior")</f>
        <v>Senior</v>
      </c>
      <c r="Q788" t="str" cm="1">
        <f t="array" ref="Q7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88">
        <f>YEAR(Hospital_Patient[[#This Row],[Discharge_Date]])</f>
        <v>2022</v>
      </c>
    </row>
    <row r="789" spans="1:18" x14ac:dyDescent="0.25">
      <c r="A789">
        <v>420</v>
      </c>
      <c r="B789">
        <v>45</v>
      </c>
      <c r="C789" t="s">
        <v>15</v>
      </c>
      <c r="D789" t="s">
        <v>39</v>
      </c>
      <c r="E789" t="s">
        <v>40</v>
      </c>
      <c r="F789" s="5">
        <v>44851</v>
      </c>
      <c r="G789" s="5">
        <v>44883</v>
      </c>
      <c r="H789" t="s">
        <v>41</v>
      </c>
      <c r="I789">
        <v>2022</v>
      </c>
      <c r="J789">
        <v>32</v>
      </c>
      <c r="K789" t="s">
        <v>19</v>
      </c>
      <c r="L789" t="s">
        <v>20</v>
      </c>
      <c r="M789">
        <v>3</v>
      </c>
      <c r="N789" t="s">
        <v>19</v>
      </c>
      <c r="O789">
        <v>8000</v>
      </c>
      <c r="P789" t="str" cm="1">
        <f t="array" ref="P789">_xlfn.IFS(Hospital_Patient[[#This Row],[Age]]&lt;=18,"Young",Hospital_Patient[[#This Row],[Age]]&lt;=36,"Adult",Hospital_Patient[[#This Row],[Age]]&lt;=60,"Middle Age",Hospital_Patient[[#This Row],[Age]]&gt;60,"Senior")</f>
        <v>Middle Age</v>
      </c>
      <c r="Q789" t="str" cm="1">
        <f t="array" ref="Q7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89">
        <f>YEAR(Hospital_Patient[[#This Row],[Discharge_Date]])</f>
        <v>2022</v>
      </c>
    </row>
    <row r="790" spans="1:18" hidden="1" x14ac:dyDescent="0.25">
      <c r="A790">
        <v>545</v>
      </c>
      <c r="B790">
        <v>55</v>
      </c>
      <c r="C790" t="s">
        <v>22</v>
      </c>
      <c r="D790" t="s">
        <v>57</v>
      </c>
      <c r="E790" t="s">
        <v>58</v>
      </c>
      <c r="F790" s="5">
        <v>44843</v>
      </c>
      <c r="G790" s="5">
        <v>44883</v>
      </c>
      <c r="H790" t="s">
        <v>77</v>
      </c>
      <c r="I790">
        <v>2022</v>
      </c>
      <c r="J790">
        <v>40</v>
      </c>
      <c r="K790" t="s">
        <v>19</v>
      </c>
      <c r="L790" t="s">
        <v>20</v>
      </c>
      <c r="M790">
        <v>3</v>
      </c>
      <c r="N790" t="s">
        <v>19</v>
      </c>
      <c r="O790">
        <v>6000</v>
      </c>
      <c r="P790" t="str" cm="1">
        <f t="array" ref="P790">_xlfn.IFS(Hospital_Patient[[#This Row],[Age]]&lt;=18,"Young",Hospital_Patient[[#This Row],[Age]]&lt;=36,"Adult",Hospital_Patient[[#This Row],[Age]]&lt;=60,"Middle Age",Hospital_Patient[[#This Row],[Age]]&gt;60,"Senior")</f>
        <v>Middle Age</v>
      </c>
      <c r="Q790" t="str" cm="1">
        <f t="array" ref="Q7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0">
        <f>YEAR(Hospital_Patient[[#This Row],[Discharge_Date]])</f>
        <v>2022</v>
      </c>
    </row>
    <row r="791" spans="1:18" x14ac:dyDescent="0.25">
      <c r="A791">
        <v>98</v>
      </c>
      <c r="B791">
        <v>78</v>
      </c>
      <c r="C791" t="s">
        <v>15</v>
      </c>
      <c r="D791" t="s">
        <v>45</v>
      </c>
      <c r="E791" t="s">
        <v>46</v>
      </c>
      <c r="F791" s="5">
        <v>44866</v>
      </c>
      <c r="G791" s="5">
        <v>44880</v>
      </c>
      <c r="H791" t="s">
        <v>69</v>
      </c>
      <c r="I791">
        <v>2022</v>
      </c>
      <c r="J791">
        <v>14</v>
      </c>
      <c r="K791" t="s">
        <v>21</v>
      </c>
      <c r="L791" t="s">
        <v>26</v>
      </c>
      <c r="M791">
        <v>2</v>
      </c>
      <c r="N791" t="s">
        <v>19</v>
      </c>
      <c r="O791">
        <v>18000</v>
      </c>
      <c r="P791" t="str" cm="1">
        <f t="array" ref="P791">_xlfn.IFS(Hospital_Patient[[#This Row],[Age]]&lt;=18,"Young",Hospital_Patient[[#This Row],[Age]]&lt;=36,"Adult",Hospital_Patient[[#This Row],[Age]]&lt;=60,"Middle Age",Hospital_Patient[[#This Row],[Age]]&gt;60,"Senior")</f>
        <v>Senior</v>
      </c>
      <c r="Q791" t="str" cm="1">
        <f t="array" ref="Q7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791">
        <f>YEAR(Hospital_Patient[[#This Row],[Discharge_Date]])</f>
        <v>2022</v>
      </c>
    </row>
    <row r="792" spans="1:18" x14ac:dyDescent="0.25">
      <c r="A792">
        <v>365</v>
      </c>
      <c r="B792">
        <v>52</v>
      </c>
      <c r="C792" t="s">
        <v>15</v>
      </c>
      <c r="D792" t="s">
        <v>49</v>
      </c>
      <c r="E792" t="s">
        <v>50</v>
      </c>
      <c r="F792" s="5">
        <v>44854</v>
      </c>
      <c r="G792" s="5">
        <v>44880</v>
      </c>
      <c r="H792" t="s">
        <v>51</v>
      </c>
      <c r="I792">
        <v>2022</v>
      </c>
      <c r="J792">
        <v>26</v>
      </c>
      <c r="K792" t="s">
        <v>19</v>
      </c>
      <c r="L792" t="s">
        <v>26</v>
      </c>
      <c r="M792">
        <v>4</v>
      </c>
      <c r="N792" t="s">
        <v>19</v>
      </c>
      <c r="O792">
        <v>800</v>
      </c>
      <c r="P792" t="str" cm="1">
        <f t="array" ref="P792">_xlfn.IFS(Hospital_Patient[[#This Row],[Age]]&lt;=18,"Young",Hospital_Patient[[#This Row],[Age]]&lt;=36,"Adult",Hospital_Patient[[#This Row],[Age]]&lt;=60,"Middle Age",Hospital_Patient[[#This Row],[Age]]&gt;60,"Senior")</f>
        <v>Middle Age</v>
      </c>
      <c r="Q792" t="str" cm="1">
        <f t="array" ref="Q7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92">
        <f>YEAR(Hospital_Patient[[#This Row],[Discharge_Date]])</f>
        <v>2022</v>
      </c>
    </row>
    <row r="793" spans="1:18" x14ac:dyDescent="0.25">
      <c r="A793">
        <v>279</v>
      </c>
      <c r="B793">
        <v>32</v>
      </c>
      <c r="C793" t="s">
        <v>15</v>
      </c>
      <c r="D793" t="s">
        <v>54</v>
      </c>
      <c r="E793" t="s">
        <v>55</v>
      </c>
      <c r="F793" s="5">
        <v>44855</v>
      </c>
      <c r="G793" s="5">
        <v>44876</v>
      </c>
      <c r="H793" t="s">
        <v>76</v>
      </c>
      <c r="I793">
        <v>2022</v>
      </c>
      <c r="J793">
        <v>21</v>
      </c>
      <c r="K793" t="s">
        <v>19</v>
      </c>
      <c r="L793" t="s">
        <v>20</v>
      </c>
      <c r="M793">
        <v>4</v>
      </c>
      <c r="N793" t="s">
        <v>21</v>
      </c>
      <c r="O793">
        <v>12000</v>
      </c>
      <c r="P793" t="str" cm="1">
        <f t="array" ref="P793">_xlfn.IFS(Hospital_Patient[[#This Row],[Age]]&lt;=18,"Young",Hospital_Patient[[#This Row],[Age]]&lt;=36,"Adult",Hospital_Patient[[#This Row],[Age]]&lt;=60,"Middle Age",Hospital_Patient[[#This Row],[Age]]&gt;60,"Senior")</f>
        <v>Adult</v>
      </c>
      <c r="Q793" t="str" cm="1">
        <f t="array" ref="Q7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793">
        <f>YEAR(Hospital_Patient[[#This Row],[Discharge_Date]])</f>
        <v>2022</v>
      </c>
    </row>
    <row r="794" spans="1:18" hidden="1" x14ac:dyDescent="0.25">
      <c r="A794">
        <v>470</v>
      </c>
      <c r="B794">
        <v>67</v>
      </c>
      <c r="C794" t="s">
        <v>22</v>
      </c>
      <c r="D794" t="s">
        <v>52</v>
      </c>
      <c r="E794" t="s">
        <v>53</v>
      </c>
      <c r="F794" s="5">
        <v>44835</v>
      </c>
      <c r="G794" s="5">
        <v>44875</v>
      </c>
      <c r="H794" t="s">
        <v>67</v>
      </c>
      <c r="I794">
        <v>2022</v>
      </c>
      <c r="J794">
        <v>40</v>
      </c>
      <c r="K794" t="s">
        <v>19</v>
      </c>
      <c r="L794" t="s">
        <v>20</v>
      </c>
      <c r="M794">
        <v>3</v>
      </c>
      <c r="N794" t="s">
        <v>21</v>
      </c>
      <c r="O794">
        <v>20000</v>
      </c>
      <c r="P794" t="str" cm="1">
        <f t="array" ref="P794">_xlfn.IFS(Hospital_Patient[[#This Row],[Age]]&lt;=18,"Young",Hospital_Patient[[#This Row],[Age]]&lt;=36,"Adult",Hospital_Patient[[#This Row],[Age]]&lt;=60,"Middle Age",Hospital_Patient[[#This Row],[Age]]&gt;60,"Senior")</f>
        <v>Senior</v>
      </c>
      <c r="Q794" t="str" cm="1">
        <f t="array" ref="Q7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4">
        <f>YEAR(Hospital_Patient[[#This Row],[Discharge_Date]])</f>
        <v>2022</v>
      </c>
    </row>
    <row r="795" spans="1:18" hidden="1" x14ac:dyDescent="0.25">
      <c r="A795">
        <v>716</v>
      </c>
      <c r="B795">
        <v>40</v>
      </c>
      <c r="C795" t="s">
        <v>22</v>
      </c>
      <c r="D795" t="s">
        <v>42</v>
      </c>
      <c r="E795" t="s">
        <v>43</v>
      </c>
      <c r="F795" s="5">
        <v>44821</v>
      </c>
      <c r="G795" s="5">
        <v>44875</v>
      </c>
      <c r="H795" t="s">
        <v>29</v>
      </c>
      <c r="I795">
        <v>2022</v>
      </c>
      <c r="J795">
        <v>54</v>
      </c>
      <c r="K795" t="s">
        <v>19</v>
      </c>
      <c r="L795" t="s">
        <v>20</v>
      </c>
      <c r="M795">
        <v>4</v>
      </c>
      <c r="N795" t="s">
        <v>21</v>
      </c>
      <c r="O795">
        <v>3000</v>
      </c>
      <c r="P795" t="str" cm="1">
        <f t="array" ref="P795">_xlfn.IFS(Hospital_Patient[[#This Row],[Age]]&lt;=18,"Young",Hospital_Patient[[#This Row],[Age]]&lt;=36,"Adult",Hospital_Patient[[#This Row],[Age]]&lt;=60,"Middle Age",Hospital_Patient[[#This Row],[Age]]&gt;60,"Senior")</f>
        <v>Middle Age</v>
      </c>
      <c r="Q795" t="str" cm="1">
        <f t="array" ref="Q7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5">
        <f>YEAR(Hospital_Patient[[#This Row],[Discharge_Date]])</f>
        <v>2022</v>
      </c>
    </row>
    <row r="796" spans="1:18" hidden="1" x14ac:dyDescent="0.25">
      <c r="A796">
        <v>689</v>
      </c>
      <c r="B796">
        <v>25</v>
      </c>
      <c r="C796" t="s">
        <v>22</v>
      </c>
      <c r="D796" t="s">
        <v>47</v>
      </c>
      <c r="E796" t="s">
        <v>48</v>
      </c>
      <c r="F796" s="5">
        <v>44826</v>
      </c>
      <c r="G796" s="5">
        <v>44873</v>
      </c>
      <c r="H796" t="s">
        <v>74</v>
      </c>
      <c r="I796">
        <v>2022</v>
      </c>
      <c r="J796">
        <v>47</v>
      </c>
      <c r="K796" t="s">
        <v>19</v>
      </c>
      <c r="L796" t="s">
        <v>20</v>
      </c>
      <c r="M796">
        <v>5</v>
      </c>
      <c r="N796" t="s">
        <v>19</v>
      </c>
      <c r="O796">
        <v>100</v>
      </c>
      <c r="P796" t="str" cm="1">
        <f t="array" ref="P796">_xlfn.IFS(Hospital_Patient[[#This Row],[Age]]&lt;=18,"Young",Hospital_Patient[[#This Row],[Age]]&lt;=36,"Adult",Hospital_Patient[[#This Row],[Age]]&lt;=60,"Middle Age",Hospital_Patient[[#This Row],[Age]]&gt;60,"Senior")</f>
        <v>Adult</v>
      </c>
      <c r="Q796" t="str" cm="1">
        <f t="array" ref="Q7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6">
        <f>YEAR(Hospital_Patient[[#This Row],[Discharge_Date]])</f>
        <v>2022</v>
      </c>
    </row>
    <row r="797" spans="1:18" x14ac:dyDescent="0.25">
      <c r="A797">
        <v>979</v>
      </c>
      <c r="B797">
        <v>55</v>
      </c>
      <c r="C797" t="s">
        <v>15</v>
      </c>
      <c r="D797" t="s">
        <v>33</v>
      </c>
      <c r="E797" t="s">
        <v>34</v>
      </c>
      <c r="F797" s="5">
        <v>44796</v>
      </c>
      <c r="G797" s="5">
        <v>44872</v>
      </c>
      <c r="H797" t="s">
        <v>67</v>
      </c>
      <c r="I797">
        <v>2022</v>
      </c>
      <c r="J797">
        <v>76</v>
      </c>
      <c r="K797" t="s">
        <v>19</v>
      </c>
      <c r="L797" t="s">
        <v>20</v>
      </c>
      <c r="M797">
        <v>4</v>
      </c>
      <c r="N797" t="s">
        <v>21</v>
      </c>
      <c r="O797">
        <v>25000</v>
      </c>
      <c r="P797" t="str" cm="1">
        <f t="array" ref="P797">_xlfn.IFS(Hospital_Patient[[#This Row],[Age]]&lt;=18,"Young",Hospital_Patient[[#This Row],[Age]]&lt;=36,"Adult",Hospital_Patient[[#This Row],[Age]]&lt;=60,"Middle Age",Hospital_Patient[[#This Row],[Age]]&gt;60,"Senior")</f>
        <v>Middle Age</v>
      </c>
      <c r="Q797" t="str" cm="1">
        <f t="array" ref="Q7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797">
        <f>YEAR(Hospital_Patient[[#This Row],[Discharge_Date]])</f>
        <v>2022</v>
      </c>
    </row>
    <row r="798" spans="1:18" x14ac:dyDescent="0.25">
      <c r="A798">
        <v>741</v>
      </c>
      <c r="B798">
        <v>30</v>
      </c>
      <c r="C798" t="s">
        <v>15</v>
      </c>
      <c r="D798" t="s">
        <v>27</v>
      </c>
      <c r="E798" t="s">
        <v>28</v>
      </c>
      <c r="F798" s="5">
        <v>44820</v>
      </c>
      <c r="G798" s="5">
        <v>44871</v>
      </c>
      <c r="H798" t="s">
        <v>77</v>
      </c>
      <c r="I798">
        <v>2022</v>
      </c>
      <c r="J798">
        <v>51</v>
      </c>
      <c r="K798" t="s">
        <v>19</v>
      </c>
      <c r="L798" t="s">
        <v>20</v>
      </c>
      <c r="M798">
        <v>5</v>
      </c>
      <c r="N798" t="s">
        <v>21</v>
      </c>
      <c r="O798">
        <v>500</v>
      </c>
      <c r="P798" t="str" cm="1">
        <f t="array" ref="P798">_xlfn.IFS(Hospital_Patient[[#This Row],[Age]]&lt;=18,"Young",Hospital_Patient[[#This Row],[Age]]&lt;=36,"Adult",Hospital_Patient[[#This Row],[Age]]&lt;=60,"Middle Age",Hospital_Patient[[#This Row],[Age]]&gt;60,"Senior")</f>
        <v>Adult</v>
      </c>
      <c r="Q798" t="str" cm="1">
        <f t="array" ref="Q7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8">
        <f>YEAR(Hospital_Patient[[#This Row],[Discharge_Date]])</f>
        <v>2022</v>
      </c>
    </row>
    <row r="799" spans="1:18" hidden="1" x14ac:dyDescent="0.25">
      <c r="A799">
        <v>784</v>
      </c>
      <c r="B799">
        <v>62</v>
      </c>
      <c r="C799" t="s">
        <v>22</v>
      </c>
      <c r="D799" t="s">
        <v>23</v>
      </c>
      <c r="E799" t="s">
        <v>24</v>
      </c>
      <c r="F799" s="5">
        <v>44815</v>
      </c>
      <c r="G799" s="5">
        <v>44871</v>
      </c>
      <c r="H799" t="s">
        <v>73</v>
      </c>
      <c r="I799">
        <v>2022</v>
      </c>
      <c r="J799">
        <v>56</v>
      </c>
      <c r="K799" t="s">
        <v>19</v>
      </c>
      <c r="L799" t="s">
        <v>26</v>
      </c>
      <c r="M799">
        <v>4</v>
      </c>
      <c r="N799" t="s">
        <v>19</v>
      </c>
      <c r="O799">
        <v>2000</v>
      </c>
      <c r="P799" t="str" cm="1">
        <f t="array" ref="P799">_xlfn.IFS(Hospital_Patient[[#This Row],[Age]]&lt;=18,"Young",Hospital_Patient[[#This Row],[Age]]&lt;=36,"Adult",Hospital_Patient[[#This Row],[Age]]&lt;=60,"Middle Age",Hospital_Patient[[#This Row],[Age]]&gt;60,"Senior")</f>
        <v>Senior</v>
      </c>
      <c r="Q799" t="str" cm="1">
        <f t="array" ref="Q7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799">
        <f>YEAR(Hospital_Patient[[#This Row],[Discharge_Date]])</f>
        <v>2022</v>
      </c>
    </row>
    <row r="800" spans="1:18" x14ac:dyDescent="0.25">
      <c r="A800">
        <v>909</v>
      </c>
      <c r="B800">
        <v>75</v>
      </c>
      <c r="C800" t="s">
        <v>15</v>
      </c>
      <c r="D800" t="s">
        <v>45</v>
      </c>
      <c r="E800" t="s">
        <v>46</v>
      </c>
      <c r="F800" s="5">
        <v>44800</v>
      </c>
      <c r="G800" s="5">
        <v>44869</v>
      </c>
      <c r="H800" t="s">
        <v>65</v>
      </c>
      <c r="I800">
        <v>2022</v>
      </c>
      <c r="J800">
        <v>69</v>
      </c>
      <c r="K800" t="s">
        <v>21</v>
      </c>
      <c r="L800" t="s">
        <v>26</v>
      </c>
      <c r="M800">
        <v>2</v>
      </c>
      <c r="N800" t="s">
        <v>19</v>
      </c>
      <c r="O800">
        <v>18000</v>
      </c>
      <c r="P800" t="str" cm="1">
        <f t="array" ref="P800">_xlfn.IFS(Hospital_Patient[[#This Row],[Age]]&lt;=18,"Young",Hospital_Patient[[#This Row],[Age]]&lt;=36,"Adult",Hospital_Patient[[#This Row],[Age]]&lt;=60,"Middle Age",Hospital_Patient[[#This Row],[Age]]&gt;60,"Senior")</f>
        <v>Senior</v>
      </c>
      <c r="Q800" t="str" cm="1">
        <f t="array" ref="Q8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00">
        <f>YEAR(Hospital_Patient[[#This Row],[Discharge_Date]])</f>
        <v>2022</v>
      </c>
    </row>
    <row r="801" spans="1:18" x14ac:dyDescent="0.25">
      <c r="A801">
        <v>16</v>
      </c>
      <c r="B801">
        <v>55</v>
      </c>
      <c r="C801" t="s">
        <v>15</v>
      </c>
      <c r="D801" t="s">
        <v>16</v>
      </c>
      <c r="E801" t="s">
        <v>17</v>
      </c>
      <c r="F801" s="5">
        <v>44861</v>
      </c>
      <c r="G801" s="5">
        <v>44867</v>
      </c>
      <c r="H801" t="s">
        <v>62</v>
      </c>
      <c r="I801">
        <v>2022</v>
      </c>
      <c r="J801">
        <v>6</v>
      </c>
      <c r="K801" t="s">
        <v>21</v>
      </c>
      <c r="L801" t="s">
        <v>20</v>
      </c>
      <c r="M801">
        <v>3</v>
      </c>
      <c r="N801" t="s">
        <v>21</v>
      </c>
      <c r="O801">
        <v>15000</v>
      </c>
      <c r="P801" t="str" cm="1">
        <f t="array" ref="P801">_xlfn.IFS(Hospital_Patient[[#This Row],[Age]]&lt;=18,"Young",Hospital_Patient[[#This Row],[Age]]&lt;=36,"Adult",Hospital_Patient[[#This Row],[Age]]&lt;=60,"Middle Age",Hospital_Patient[[#This Row],[Age]]&gt;60,"Senior")</f>
        <v>Middle Age</v>
      </c>
      <c r="Q801" t="str" cm="1">
        <f t="array" ref="Q8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01">
        <f>YEAR(Hospital_Patient[[#This Row],[Discharge_Date]])</f>
        <v>2022</v>
      </c>
    </row>
    <row r="802" spans="1:18" hidden="1" x14ac:dyDescent="0.25">
      <c r="A802">
        <v>217</v>
      </c>
      <c r="B802">
        <v>25</v>
      </c>
      <c r="C802" t="s">
        <v>22</v>
      </c>
      <c r="D802" t="s">
        <v>47</v>
      </c>
      <c r="E802" t="s">
        <v>48</v>
      </c>
      <c r="F802" s="5">
        <v>44852</v>
      </c>
      <c r="G802" s="5">
        <v>44867</v>
      </c>
      <c r="H802" t="s">
        <v>74</v>
      </c>
      <c r="I802">
        <v>2022</v>
      </c>
      <c r="J802">
        <v>15</v>
      </c>
      <c r="K802" t="s">
        <v>19</v>
      </c>
      <c r="L802" t="s">
        <v>20</v>
      </c>
      <c r="M802">
        <v>5</v>
      </c>
      <c r="N802" t="s">
        <v>19</v>
      </c>
      <c r="O802">
        <v>100</v>
      </c>
      <c r="P802" t="str" cm="1">
        <f t="array" ref="P802">_xlfn.IFS(Hospital_Patient[[#This Row],[Age]]&lt;=18,"Young",Hospital_Patient[[#This Row],[Age]]&lt;=36,"Adult",Hospital_Patient[[#This Row],[Age]]&lt;=60,"Middle Age",Hospital_Patient[[#This Row],[Age]]&gt;60,"Senior")</f>
        <v>Adult</v>
      </c>
      <c r="Q802" t="str" cm="1">
        <f t="array" ref="Q8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02">
        <f>YEAR(Hospital_Patient[[#This Row],[Discharge_Date]])</f>
        <v>2022</v>
      </c>
    </row>
    <row r="803" spans="1:18" hidden="1" x14ac:dyDescent="0.25">
      <c r="A803">
        <v>257</v>
      </c>
      <c r="B803">
        <v>72</v>
      </c>
      <c r="C803" t="s">
        <v>22</v>
      </c>
      <c r="D803" t="s">
        <v>36</v>
      </c>
      <c r="E803" t="s">
        <v>37</v>
      </c>
      <c r="F803" s="5">
        <v>44847</v>
      </c>
      <c r="G803" s="5">
        <v>44866</v>
      </c>
      <c r="H803" t="s">
        <v>38</v>
      </c>
      <c r="I803">
        <v>2022</v>
      </c>
      <c r="J803">
        <v>19</v>
      </c>
      <c r="K803" t="s">
        <v>19</v>
      </c>
      <c r="L803" t="s">
        <v>26</v>
      </c>
      <c r="M803">
        <v>4</v>
      </c>
      <c r="N803" t="s">
        <v>21</v>
      </c>
      <c r="O803">
        <v>1000</v>
      </c>
      <c r="P803" t="str" cm="1">
        <f t="array" ref="P803">_xlfn.IFS(Hospital_Patient[[#This Row],[Age]]&lt;=18,"Young",Hospital_Patient[[#This Row],[Age]]&lt;=36,"Adult",Hospital_Patient[[#This Row],[Age]]&lt;=60,"Middle Age",Hospital_Patient[[#This Row],[Age]]&gt;60,"Senior")</f>
        <v>Senior</v>
      </c>
      <c r="Q803" t="str" cm="1">
        <f t="array" ref="Q8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03">
        <f>YEAR(Hospital_Patient[[#This Row],[Discharge_Date]])</f>
        <v>2022</v>
      </c>
    </row>
    <row r="804" spans="1:18" hidden="1" x14ac:dyDescent="0.25">
      <c r="A804">
        <v>870</v>
      </c>
      <c r="B804">
        <v>55</v>
      </c>
      <c r="C804" t="s">
        <v>22</v>
      </c>
      <c r="D804" t="s">
        <v>57</v>
      </c>
      <c r="E804" t="s">
        <v>58</v>
      </c>
      <c r="F804" s="5">
        <v>44798</v>
      </c>
      <c r="G804" s="5">
        <v>44860</v>
      </c>
      <c r="H804" t="s">
        <v>69</v>
      </c>
      <c r="I804">
        <v>2022</v>
      </c>
      <c r="J804">
        <v>62</v>
      </c>
      <c r="K804" t="s">
        <v>19</v>
      </c>
      <c r="L804" t="s">
        <v>20</v>
      </c>
      <c r="M804">
        <v>3</v>
      </c>
      <c r="N804" t="s">
        <v>19</v>
      </c>
      <c r="O804">
        <v>6000</v>
      </c>
      <c r="P804" t="str" cm="1">
        <f t="array" ref="P804">_xlfn.IFS(Hospital_Patient[[#This Row],[Age]]&lt;=18,"Young",Hospital_Patient[[#This Row],[Age]]&lt;=36,"Adult",Hospital_Patient[[#This Row],[Age]]&lt;=60,"Middle Age",Hospital_Patient[[#This Row],[Age]]&gt;60,"Senior")</f>
        <v>Middle Age</v>
      </c>
      <c r="Q804" t="str" cm="1">
        <f t="array" ref="Q8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04">
        <f>YEAR(Hospital_Patient[[#This Row],[Discharge_Date]])</f>
        <v>2022</v>
      </c>
    </row>
    <row r="805" spans="1:18" x14ac:dyDescent="0.25">
      <c r="A805">
        <v>859</v>
      </c>
      <c r="B805">
        <v>30</v>
      </c>
      <c r="C805" t="s">
        <v>15</v>
      </c>
      <c r="D805" t="s">
        <v>27</v>
      </c>
      <c r="E805" t="s">
        <v>28</v>
      </c>
      <c r="F805" s="5">
        <v>44800</v>
      </c>
      <c r="G805" s="5">
        <v>44859</v>
      </c>
      <c r="H805" t="s">
        <v>77</v>
      </c>
      <c r="I805">
        <v>2022</v>
      </c>
      <c r="J805">
        <v>59</v>
      </c>
      <c r="K805" t="s">
        <v>19</v>
      </c>
      <c r="L805" t="s">
        <v>20</v>
      </c>
      <c r="M805">
        <v>5</v>
      </c>
      <c r="N805" t="s">
        <v>19</v>
      </c>
      <c r="O805">
        <v>500</v>
      </c>
      <c r="P805" t="str" cm="1">
        <f t="array" ref="P805">_xlfn.IFS(Hospital_Patient[[#This Row],[Age]]&lt;=18,"Young",Hospital_Patient[[#This Row],[Age]]&lt;=36,"Adult",Hospital_Patient[[#This Row],[Age]]&lt;=60,"Middle Age",Hospital_Patient[[#This Row],[Age]]&gt;60,"Senior")</f>
        <v>Adult</v>
      </c>
      <c r="Q805" t="str" cm="1">
        <f t="array" ref="Q8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05">
        <f>YEAR(Hospital_Patient[[#This Row],[Discharge_Date]])</f>
        <v>2022</v>
      </c>
    </row>
    <row r="806" spans="1:18" hidden="1" x14ac:dyDescent="0.25">
      <c r="A806">
        <v>147</v>
      </c>
      <c r="B806">
        <v>50</v>
      </c>
      <c r="C806" t="s">
        <v>22</v>
      </c>
      <c r="D806" t="s">
        <v>57</v>
      </c>
      <c r="E806" t="s">
        <v>58</v>
      </c>
      <c r="F806" s="5">
        <v>44843</v>
      </c>
      <c r="G806" s="5">
        <v>44856</v>
      </c>
      <c r="H806" t="s">
        <v>69</v>
      </c>
      <c r="I806">
        <v>2022</v>
      </c>
      <c r="J806">
        <v>13</v>
      </c>
      <c r="K806" t="s">
        <v>19</v>
      </c>
      <c r="L806" t="s">
        <v>20</v>
      </c>
      <c r="M806">
        <v>3</v>
      </c>
      <c r="N806" t="s">
        <v>19</v>
      </c>
      <c r="O806">
        <v>6000</v>
      </c>
      <c r="P806" t="str" cm="1">
        <f t="array" ref="P806">_xlfn.IFS(Hospital_Patient[[#This Row],[Age]]&lt;=18,"Young",Hospital_Patient[[#This Row],[Age]]&lt;=36,"Adult",Hospital_Patient[[#This Row],[Age]]&lt;=60,"Middle Age",Hospital_Patient[[#This Row],[Age]]&gt;60,"Senior")</f>
        <v>Middle Age</v>
      </c>
      <c r="Q806" t="str" cm="1">
        <f t="array" ref="Q8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06">
        <f>YEAR(Hospital_Patient[[#This Row],[Discharge_Date]])</f>
        <v>2022</v>
      </c>
    </row>
    <row r="807" spans="1:18" x14ac:dyDescent="0.25">
      <c r="A807">
        <v>411</v>
      </c>
      <c r="B807">
        <v>35</v>
      </c>
      <c r="C807" t="s">
        <v>15</v>
      </c>
      <c r="D807" t="s">
        <v>54</v>
      </c>
      <c r="E807" t="s">
        <v>55</v>
      </c>
      <c r="F807" s="5">
        <v>44826</v>
      </c>
      <c r="G807" s="5">
        <v>44856</v>
      </c>
      <c r="H807" t="s">
        <v>76</v>
      </c>
      <c r="I807">
        <v>2022</v>
      </c>
      <c r="J807">
        <v>30</v>
      </c>
      <c r="K807" t="s">
        <v>19</v>
      </c>
      <c r="L807" t="s">
        <v>20</v>
      </c>
      <c r="M807">
        <v>4</v>
      </c>
      <c r="N807" t="s">
        <v>21</v>
      </c>
      <c r="O807">
        <v>12000</v>
      </c>
      <c r="P807" t="str" cm="1">
        <f t="array" ref="P807">_xlfn.IFS(Hospital_Patient[[#This Row],[Age]]&lt;=18,"Young",Hospital_Patient[[#This Row],[Age]]&lt;=36,"Adult",Hospital_Patient[[#This Row],[Age]]&lt;=60,"Middle Age",Hospital_Patient[[#This Row],[Age]]&gt;60,"Senior")</f>
        <v>Adult</v>
      </c>
      <c r="Q807" t="str" cm="1">
        <f t="array" ref="Q8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07">
        <f>YEAR(Hospital_Patient[[#This Row],[Discharge_Date]])</f>
        <v>2022</v>
      </c>
    </row>
    <row r="808" spans="1:18" x14ac:dyDescent="0.25">
      <c r="A808">
        <v>33</v>
      </c>
      <c r="B808">
        <v>30</v>
      </c>
      <c r="C808" t="s">
        <v>15</v>
      </c>
      <c r="D808" t="s">
        <v>27</v>
      </c>
      <c r="E808" t="s">
        <v>28</v>
      </c>
      <c r="F808" s="5">
        <v>44852</v>
      </c>
      <c r="G808" s="5">
        <v>44855</v>
      </c>
      <c r="H808" t="s">
        <v>70</v>
      </c>
      <c r="I808">
        <v>2022</v>
      </c>
      <c r="J808">
        <v>3</v>
      </c>
      <c r="K808" t="s">
        <v>19</v>
      </c>
      <c r="L808" t="s">
        <v>20</v>
      </c>
      <c r="M808">
        <v>5</v>
      </c>
      <c r="N808" t="s">
        <v>19</v>
      </c>
      <c r="O808">
        <v>500</v>
      </c>
      <c r="P808" t="str" cm="1">
        <f t="array" ref="P808">_xlfn.IFS(Hospital_Patient[[#This Row],[Age]]&lt;=18,"Young",Hospital_Patient[[#This Row],[Age]]&lt;=36,"Adult",Hospital_Patient[[#This Row],[Age]]&lt;=60,"Middle Age",Hospital_Patient[[#This Row],[Age]]&gt;60,"Senior")</f>
        <v>Adult</v>
      </c>
      <c r="Q808" t="str" cm="1">
        <f t="array" ref="Q8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08">
        <f>YEAR(Hospital_Patient[[#This Row],[Discharge_Date]])</f>
        <v>2022</v>
      </c>
    </row>
    <row r="809" spans="1:18" hidden="1" x14ac:dyDescent="0.25">
      <c r="A809">
        <v>722</v>
      </c>
      <c r="B809">
        <v>55</v>
      </c>
      <c r="C809" t="s">
        <v>22</v>
      </c>
      <c r="D809" t="s">
        <v>57</v>
      </c>
      <c r="E809" t="s">
        <v>58</v>
      </c>
      <c r="F809" s="5">
        <v>44802</v>
      </c>
      <c r="G809" s="5">
        <v>44854</v>
      </c>
      <c r="H809" t="s">
        <v>69</v>
      </c>
      <c r="I809">
        <v>2022</v>
      </c>
      <c r="J809">
        <v>52</v>
      </c>
      <c r="K809" t="s">
        <v>19</v>
      </c>
      <c r="L809" t="s">
        <v>20</v>
      </c>
      <c r="M809">
        <v>3</v>
      </c>
      <c r="N809" t="s">
        <v>21</v>
      </c>
      <c r="O809">
        <v>6000</v>
      </c>
      <c r="P809" t="str" cm="1">
        <f t="array" ref="P809">_xlfn.IFS(Hospital_Patient[[#This Row],[Age]]&lt;=18,"Young",Hospital_Patient[[#This Row],[Age]]&lt;=36,"Adult",Hospital_Patient[[#This Row],[Age]]&lt;=60,"Middle Age",Hospital_Patient[[#This Row],[Age]]&gt;60,"Senior")</f>
        <v>Middle Age</v>
      </c>
      <c r="Q809" t="str" cm="1">
        <f t="array" ref="Q8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09">
        <f>YEAR(Hospital_Patient[[#This Row],[Discharge_Date]])</f>
        <v>2022</v>
      </c>
    </row>
    <row r="810" spans="1:18" hidden="1" x14ac:dyDescent="0.25">
      <c r="A810">
        <v>952</v>
      </c>
      <c r="B810">
        <v>40</v>
      </c>
      <c r="C810" t="s">
        <v>22</v>
      </c>
      <c r="D810" t="s">
        <v>42</v>
      </c>
      <c r="E810" t="s">
        <v>43</v>
      </c>
      <c r="F810" s="5">
        <v>44783</v>
      </c>
      <c r="G810" s="5">
        <v>44853</v>
      </c>
      <c r="H810" t="s">
        <v>44</v>
      </c>
      <c r="I810">
        <v>2022</v>
      </c>
      <c r="J810">
        <v>70</v>
      </c>
      <c r="K810" t="s">
        <v>19</v>
      </c>
      <c r="L810" t="s">
        <v>20</v>
      </c>
      <c r="M810">
        <v>4</v>
      </c>
      <c r="N810" t="s">
        <v>19</v>
      </c>
      <c r="O810">
        <v>3000</v>
      </c>
      <c r="P810" t="str" cm="1">
        <f t="array" ref="P810">_xlfn.IFS(Hospital_Patient[[#This Row],[Age]]&lt;=18,"Young",Hospital_Patient[[#This Row],[Age]]&lt;=36,"Adult",Hospital_Patient[[#This Row],[Age]]&lt;=60,"Middle Age",Hospital_Patient[[#This Row],[Age]]&gt;60,"Senior")</f>
        <v>Middle Age</v>
      </c>
      <c r="Q810" t="str" cm="1">
        <f t="array" ref="Q8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10">
        <f>YEAR(Hospital_Patient[[#This Row],[Discharge_Date]])</f>
        <v>2022</v>
      </c>
    </row>
    <row r="811" spans="1:18" x14ac:dyDescent="0.25">
      <c r="A811">
        <v>450</v>
      </c>
      <c r="B811">
        <v>45</v>
      </c>
      <c r="C811" t="s">
        <v>15</v>
      </c>
      <c r="D811" t="s">
        <v>39</v>
      </c>
      <c r="E811" t="s">
        <v>40</v>
      </c>
      <c r="F811" s="5">
        <v>44816</v>
      </c>
      <c r="G811" s="5">
        <v>44850</v>
      </c>
      <c r="H811" t="s">
        <v>41</v>
      </c>
      <c r="I811">
        <v>2022</v>
      </c>
      <c r="J811">
        <v>34</v>
      </c>
      <c r="K811" t="s">
        <v>19</v>
      </c>
      <c r="L811" t="s">
        <v>20</v>
      </c>
      <c r="M811">
        <v>3</v>
      </c>
      <c r="N811" t="s">
        <v>19</v>
      </c>
      <c r="O811">
        <v>8000</v>
      </c>
      <c r="P811" t="str" cm="1">
        <f t="array" ref="P811">_xlfn.IFS(Hospital_Patient[[#This Row],[Age]]&lt;=18,"Young",Hospital_Patient[[#This Row],[Age]]&lt;=36,"Adult",Hospital_Patient[[#This Row],[Age]]&lt;=60,"Middle Age",Hospital_Patient[[#This Row],[Age]]&gt;60,"Senior")</f>
        <v>Middle Age</v>
      </c>
      <c r="Q811" t="str" cm="1">
        <f t="array" ref="Q8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1">
        <f>YEAR(Hospital_Patient[[#This Row],[Discharge_Date]])</f>
        <v>2022</v>
      </c>
    </row>
    <row r="812" spans="1:18" hidden="1" x14ac:dyDescent="0.25">
      <c r="A812">
        <v>558</v>
      </c>
      <c r="B812">
        <v>67</v>
      </c>
      <c r="C812" t="s">
        <v>22</v>
      </c>
      <c r="D812" t="s">
        <v>52</v>
      </c>
      <c r="E812" t="s">
        <v>53</v>
      </c>
      <c r="F812" s="5">
        <v>44804</v>
      </c>
      <c r="G812" s="5">
        <v>44850</v>
      </c>
      <c r="H812" t="s">
        <v>51</v>
      </c>
      <c r="I812">
        <v>2022</v>
      </c>
      <c r="J812">
        <v>46</v>
      </c>
      <c r="K812" t="s">
        <v>19</v>
      </c>
      <c r="L812" t="s">
        <v>20</v>
      </c>
      <c r="M812">
        <v>3</v>
      </c>
      <c r="N812" t="s">
        <v>21</v>
      </c>
      <c r="O812">
        <v>20000</v>
      </c>
      <c r="P812" t="str" cm="1">
        <f t="array" ref="P812">_xlfn.IFS(Hospital_Patient[[#This Row],[Age]]&lt;=18,"Young",Hospital_Patient[[#This Row],[Age]]&lt;=36,"Adult",Hospital_Patient[[#This Row],[Age]]&lt;=60,"Middle Age",Hospital_Patient[[#This Row],[Age]]&gt;60,"Senior")</f>
        <v>Senior</v>
      </c>
      <c r="Q812" t="str" cm="1">
        <f t="array" ref="Q8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2">
        <f>YEAR(Hospital_Patient[[#This Row],[Discharge_Date]])</f>
        <v>2022</v>
      </c>
    </row>
    <row r="813" spans="1:18" x14ac:dyDescent="0.25">
      <c r="A813">
        <v>385</v>
      </c>
      <c r="B813">
        <v>48</v>
      </c>
      <c r="C813" t="s">
        <v>15</v>
      </c>
      <c r="D813" t="s">
        <v>16</v>
      </c>
      <c r="E813" t="s">
        <v>17</v>
      </c>
      <c r="F813" s="5">
        <v>44816</v>
      </c>
      <c r="G813" s="5">
        <v>44847</v>
      </c>
      <c r="H813" t="s">
        <v>18</v>
      </c>
      <c r="I813">
        <v>2022</v>
      </c>
      <c r="J813">
        <v>31</v>
      </c>
      <c r="K813" t="s">
        <v>21</v>
      </c>
      <c r="L813" t="s">
        <v>20</v>
      </c>
      <c r="M813">
        <v>4</v>
      </c>
      <c r="N813" t="s">
        <v>19</v>
      </c>
      <c r="O813">
        <v>15000</v>
      </c>
      <c r="P813" t="str" cm="1">
        <f t="array" ref="P813">_xlfn.IFS(Hospital_Patient[[#This Row],[Age]]&lt;=18,"Young",Hospital_Patient[[#This Row],[Age]]&lt;=36,"Adult",Hospital_Patient[[#This Row],[Age]]&lt;=60,"Middle Age",Hospital_Patient[[#This Row],[Age]]&gt;60,"Senior")</f>
        <v>Middle Age</v>
      </c>
      <c r="Q813" t="str" cm="1">
        <f t="array" ref="Q8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3">
        <f>YEAR(Hospital_Patient[[#This Row],[Discharge_Date]])</f>
        <v>2022</v>
      </c>
    </row>
    <row r="814" spans="1:18" hidden="1" x14ac:dyDescent="0.25">
      <c r="A814">
        <v>740</v>
      </c>
      <c r="B814">
        <v>65</v>
      </c>
      <c r="C814" t="s">
        <v>22</v>
      </c>
      <c r="D814" t="s">
        <v>23</v>
      </c>
      <c r="E814" t="s">
        <v>24</v>
      </c>
      <c r="F814" s="5">
        <v>44794</v>
      </c>
      <c r="G814" s="5">
        <v>44847</v>
      </c>
      <c r="H814" t="s">
        <v>18</v>
      </c>
      <c r="I814">
        <v>2022</v>
      </c>
      <c r="J814">
        <v>53</v>
      </c>
      <c r="K814" t="s">
        <v>19</v>
      </c>
      <c r="L814" t="s">
        <v>26</v>
      </c>
      <c r="M814">
        <v>3</v>
      </c>
      <c r="N814" t="s">
        <v>19</v>
      </c>
      <c r="O814">
        <v>2000</v>
      </c>
      <c r="P814" t="str" cm="1">
        <f t="array" ref="P814">_xlfn.IFS(Hospital_Patient[[#This Row],[Age]]&lt;=18,"Young",Hospital_Patient[[#This Row],[Age]]&lt;=36,"Adult",Hospital_Patient[[#This Row],[Age]]&lt;=60,"Middle Age",Hospital_Patient[[#This Row],[Age]]&gt;60,"Senior")</f>
        <v>Senior</v>
      </c>
      <c r="Q814" t="str" cm="1">
        <f t="array" ref="Q8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4">
        <f>YEAR(Hospital_Patient[[#This Row],[Discharge_Date]])</f>
        <v>2022</v>
      </c>
    </row>
    <row r="815" spans="1:18" x14ac:dyDescent="0.25">
      <c r="A815">
        <v>830</v>
      </c>
      <c r="B815">
        <v>30</v>
      </c>
      <c r="C815" t="s">
        <v>15</v>
      </c>
      <c r="D815" t="s">
        <v>27</v>
      </c>
      <c r="E815" t="s">
        <v>28</v>
      </c>
      <c r="F815" s="5">
        <v>44789</v>
      </c>
      <c r="G815" s="5">
        <v>44846</v>
      </c>
      <c r="H815" t="s">
        <v>29</v>
      </c>
      <c r="I815">
        <v>2022</v>
      </c>
      <c r="J815">
        <v>57</v>
      </c>
      <c r="K815" t="s">
        <v>19</v>
      </c>
      <c r="L815" t="s">
        <v>20</v>
      </c>
      <c r="M815">
        <v>5</v>
      </c>
      <c r="N815" t="s">
        <v>19</v>
      </c>
      <c r="O815">
        <v>500</v>
      </c>
      <c r="P815" t="str" cm="1">
        <f t="array" ref="P815">_xlfn.IFS(Hospital_Patient[[#This Row],[Age]]&lt;=18,"Young",Hospital_Patient[[#This Row],[Age]]&lt;=36,"Adult",Hospital_Patient[[#This Row],[Age]]&lt;=60,"Middle Age",Hospital_Patient[[#This Row],[Age]]&gt;60,"Senior")</f>
        <v>Adult</v>
      </c>
      <c r="Q815" t="str" cm="1">
        <f t="array" ref="Q8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5">
        <f>YEAR(Hospital_Patient[[#This Row],[Discharge_Date]])</f>
        <v>2022</v>
      </c>
    </row>
    <row r="816" spans="1:18" x14ac:dyDescent="0.25">
      <c r="A816">
        <v>354</v>
      </c>
      <c r="B816">
        <v>60</v>
      </c>
      <c r="C816" t="s">
        <v>15</v>
      </c>
      <c r="D816" t="s">
        <v>59</v>
      </c>
      <c r="E816" t="s">
        <v>60</v>
      </c>
      <c r="F816" s="5">
        <v>44817</v>
      </c>
      <c r="G816" s="5">
        <v>44845</v>
      </c>
      <c r="H816" t="s">
        <v>61</v>
      </c>
      <c r="I816">
        <v>2022</v>
      </c>
      <c r="J816">
        <v>28</v>
      </c>
      <c r="K816" t="s">
        <v>19</v>
      </c>
      <c r="L816" t="s">
        <v>26</v>
      </c>
      <c r="M816">
        <v>4</v>
      </c>
      <c r="N816" t="s">
        <v>21</v>
      </c>
      <c r="O816">
        <v>4000</v>
      </c>
      <c r="P816" t="str" cm="1">
        <f t="array" ref="P816">_xlfn.IFS(Hospital_Patient[[#This Row],[Age]]&lt;=18,"Young",Hospital_Patient[[#This Row],[Age]]&lt;=36,"Adult",Hospital_Patient[[#This Row],[Age]]&lt;=60,"Middle Age",Hospital_Patient[[#This Row],[Age]]&gt;60,"Senior")</f>
        <v>Middle Age</v>
      </c>
      <c r="Q816" t="str" cm="1">
        <f t="array" ref="Q8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16">
        <f>YEAR(Hospital_Patient[[#This Row],[Discharge_Date]])</f>
        <v>2022</v>
      </c>
    </row>
    <row r="817" spans="1:18" hidden="1" x14ac:dyDescent="0.25">
      <c r="A817">
        <v>95</v>
      </c>
      <c r="B817">
        <v>68</v>
      </c>
      <c r="C817" t="s">
        <v>22</v>
      </c>
      <c r="D817" t="s">
        <v>36</v>
      </c>
      <c r="E817" t="s">
        <v>37</v>
      </c>
      <c r="F817" s="5">
        <v>44835</v>
      </c>
      <c r="G817" s="5">
        <v>44843</v>
      </c>
      <c r="H817" t="s">
        <v>69</v>
      </c>
      <c r="I817">
        <v>2022</v>
      </c>
      <c r="J817">
        <v>8</v>
      </c>
      <c r="K817" t="s">
        <v>19</v>
      </c>
      <c r="L817" t="s">
        <v>26</v>
      </c>
      <c r="M817">
        <v>4</v>
      </c>
      <c r="N817" t="s">
        <v>21</v>
      </c>
      <c r="O817">
        <v>1000</v>
      </c>
      <c r="P817" t="str" cm="1">
        <f t="array" ref="P817">_xlfn.IFS(Hospital_Patient[[#This Row],[Age]]&lt;=18,"Young",Hospital_Patient[[#This Row],[Age]]&lt;=36,"Adult",Hospital_Patient[[#This Row],[Age]]&lt;=60,"Middle Age",Hospital_Patient[[#This Row],[Age]]&gt;60,"Senior")</f>
        <v>Senior</v>
      </c>
      <c r="Q817" t="str" cm="1">
        <f t="array" ref="Q8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17">
        <f>YEAR(Hospital_Patient[[#This Row],[Discharge_Date]])</f>
        <v>2022</v>
      </c>
    </row>
    <row r="818" spans="1:18" hidden="1" x14ac:dyDescent="0.25">
      <c r="A818">
        <v>97</v>
      </c>
      <c r="B818">
        <v>40</v>
      </c>
      <c r="C818" t="s">
        <v>22</v>
      </c>
      <c r="D818" t="s">
        <v>42</v>
      </c>
      <c r="E818" t="s">
        <v>43</v>
      </c>
      <c r="F818" s="5">
        <v>44829</v>
      </c>
      <c r="G818" s="5">
        <v>44841</v>
      </c>
      <c r="H818" t="s">
        <v>44</v>
      </c>
      <c r="I818">
        <v>2022</v>
      </c>
      <c r="J818">
        <v>12</v>
      </c>
      <c r="K818" t="s">
        <v>19</v>
      </c>
      <c r="L818" t="s">
        <v>20</v>
      </c>
      <c r="M818">
        <v>4</v>
      </c>
      <c r="N818" t="s">
        <v>19</v>
      </c>
      <c r="O818">
        <v>3000</v>
      </c>
      <c r="P818" t="str" cm="1">
        <f t="array" ref="P818">_xlfn.IFS(Hospital_Patient[[#This Row],[Age]]&lt;=18,"Young",Hospital_Patient[[#This Row],[Age]]&lt;=36,"Adult",Hospital_Patient[[#This Row],[Age]]&lt;=60,"Middle Age",Hospital_Patient[[#This Row],[Age]]&gt;60,"Senior")</f>
        <v>Middle Age</v>
      </c>
      <c r="Q818" t="str" cm="1">
        <f t="array" ref="Q8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18">
        <f>YEAR(Hospital_Patient[[#This Row],[Discharge_Date]])</f>
        <v>2022</v>
      </c>
    </row>
    <row r="819" spans="1:18" x14ac:dyDescent="0.25">
      <c r="A819">
        <v>472</v>
      </c>
      <c r="B819">
        <v>60</v>
      </c>
      <c r="C819" t="s">
        <v>15</v>
      </c>
      <c r="D819" t="s">
        <v>59</v>
      </c>
      <c r="E819" t="s">
        <v>60</v>
      </c>
      <c r="F819" s="5">
        <v>44805</v>
      </c>
      <c r="G819" s="5">
        <v>44841</v>
      </c>
      <c r="H819" t="s">
        <v>61</v>
      </c>
      <c r="I819">
        <v>2022</v>
      </c>
      <c r="J819">
        <v>36</v>
      </c>
      <c r="K819" t="s">
        <v>19</v>
      </c>
      <c r="L819" t="s">
        <v>26</v>
      </c>
      <c r="M819">
        <v>4</v>
      </c>
      <c r="N819" t="s">
        <v>19</v>
      </c>
      <c r="O819">
        <v>4000</v>
      </c>
      <c r="P819" t="str" cm="1">
        <f t="array" ref="P819">_xlfn.IFS(Hospital_Patient[[#This Row],[Age]]&lt;=18,"Young",Hospital_Patient[[#This Row],[Age]]&lt;=36,"Adult",Hospital_Patient[[#This Row],[Age]]&lt;=60,"Middle Age",Hospital_Patient[[#This Row],[Age]]&gt;60,"Senior")</f>
        <v>Middle Age</v>
      </c>
      <c r="Q819" t="str" cm="1">
        <f t="array" ref="Q8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19">
        <f>YEAR(Hospital_Patient[[#This Row],[Discharge_Date]])</f>
        <v>2022</v>
      </c>
    </row>
    <row r="820" spans="1:18" x14ac:dyDescent="0.25">
      <c r="A820">
        <v>585</v>
      </c>
      <c r="B820">
        <v>75</v>
      </c>
      <c r="C820" t="s">
        <v>15</v>
      </c>
      <c r="D820" t="s">
        <v>45</v>
      </c>
      <c r="E820" t="s">
        <v>46</v>
      </c>
      <c r="F820" s="5">
        <v>44794</v>
      </c>
      <c r="G820" s="5">
        <v>44841</v>
      </c>
      <c r="H820" t="s">
        <v>65</v>
      </c>
      <c r="I820">
        <v>2022</v>
      </c>
      <c r="J820">
        <v>47</v>
      </c>
      <c r="K820" t="s">
        <v>21</v>
      </c>
      <c r="L820" t="s">
        <v>26</v>
      </c>
      <c r="M820">
        <v>2</v>
      </c>
      <c r="N820" t="s">
        <v>19</v>
      </c>
      <c r="O820">
        <v>18000</v>
      </c>
      <c r="P820" t="str" cm="1">
        <f t="array" ref="P820">_xlfn.IFS(Hospital_Patient[[#This Row],[Age]]&lt;=18,"Young",Hospital_Patient[[#This Row],[Age]]&lt;=36,"Adult",Hospital_Patient[[#This Row],[Age]]&lt;=60,"Middle Age",Hospital_Patient[[#This Row],[Age]]&gt;60,"Senior")</f>
        <v>Senior</v>
      </c>
      <c r="Q820" t="str" cm="1">
        <f t="array" ref="Q8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0">
        <f>YEAR(Hospital_Patient[[#This Row],[Discharge_Date]])</f>
        <v>2022</v>
      </c>
    </row>
    <row r="821" spans="1:18" x14ac:dyDescent="0.25">
      <c r="A821">
        <v>391</v>
      </c>
      <c r="B821">
        <v>45</v>
      </c>
      <c r="C821" t="s">
        <v>15</v>
      </c>
      <c r="D821" t="s">
        <v>39</v>
      </c>
      <c r="E821" t="s">
        <v>40</v>
      </c>
      <c r="F821" s="5">
        <v>44809</v>
      </c>
      <c r="G821" s="5">
        <v>44839</v>
      </c>
      <c r="H821" t="s">
        <v>72</v>
      </c>
      <c r="I821">
        <v>2022</v>
      </c>
      <c r="J821">
        <v>30</v>
      </c>
      <c r="K821" t="s">
        <v>19</v>
      </c>
      <c r="L821" t="s">
        <v>20</v>
      </c>
      <c r="M821">
        <v>3</v>
      </c>
      <c r="N821" t="s">
        <v>19</v>
      </c>
      <c r="O821">
        <v>8000</v>
      </c>
      <c r="P821" t="str" cm="1">
        <f t="array" ref="P821">_xlfn.IFS(Hospital_Patient[[#This Row],[Age]]&lt;=18,"Young",Hospital_Patient[[#This Row],[Age]]&lt;=36,"Adult",Hospital_Patient[[#This Row],[Age]]&lt;=60,"Middle Age",Hospital_Patient[[#This Row],[Age]]&gt;60,"Senior")</f>
        <v>Middle Age</v>
      </c>
      <c r="Q821" t="str" cm="1">
        <f t="array" ref="Q8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21">
        <f>YEAR(Hospital_Patient[[#This Row],[Discharge_Date]])</f>
        <v>2022</v>
      </c>
    </row>
    <row r="822" spans="1:18" hidden="1" x14ac:dyDescent="0.25">
      <c r="A822">
        <v>829</v>
      </c>
      <c r="B822">
        <v>65</v>
      </c>
      <c r="C822" t="s">
        <v>22</v>
      </c>
      <c r="D822" t="s">
        <v>23</v>
      </c>
      <c r="E822" t="s">
        <v>24</v>
      </c>
      <c r="F822" s="5">
        <v>44778</v>
      </c>
      <c r="G822" s="5">
        <v>44837</v>
      </c>
      <c r="H822" t="s">
        <v>71</v>
      </c>
      <c r="I822">
        <v>2022</v>
      </c>
      <c r="J822">
        <v>59</v>
      </c>
      <c r="K822" t="s">
        <v>19</v>
      </c>
      <c r="L822" t="s">
        <v>26</v>
      </c>
      <c r="M822">
        <v>3</v>
      </c>
      <c r="N822" t="s">
        <v>21</v>
      </c>
      <c r="O822">
        <v>2000</v>
      </c>
      <c r="P822" t="str" cm="1">
        <f t="array" ref="P822">_xlfn.IFS(Hospital_Patient[[#This Row],[Age]]&lt;=18,"Young",Hospital_Patient[[#This Row],[Age]]&lt;=36,"Adult",Hospital_Patient[[#This Row],[Age]]&lt;=60,"Middle Age",Hospital_Patient[[#This Row],[Age]]&gt;60,"Senior")</f>
        <v>Senior</v>
      </c>
      <c r="Q822" t="str" cm="1">
        <f t="array" ref="Q8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2">
        <f>YEAR(Hospital_Patient[[#This Row],[Discharge_Date]])</f>
        <v>2022</v>
      </c>
    </row>
    <row r="823" spans="1:18" hidden="1" x14ac:dyDescent="0.25">
      <c r="A823">
        <v>619</v>
      </c>
      <c r="B823">
        <v>50</v>
      </c>
      <c r="C823" t="s">
        <v>22</v>
      </c>
      <c r="D823" t="s">
        <v>57</v>
      </c>
      <c r="E823" t="s">
        <v>58</v>
      </c>
      <c r="F823" s="5">
        <v>44790</v>
      </c>
      <c r="G823" s="5">
        <v>44835</v>
      </c>
      <c r="H823" t="s">
        <v>77</v>
      </c>
      <c r="I823">
        <v>2022</v>
      </c>
      <c r="J823">
        <v>45</v>
      </c>
      <c r="K823" t="s">
        <v>19</v>
      </c>
      <c r="L823" t="s">
        <v>20</v>
      </c>
      <c r="M823">
        <v>3</v>
      </c>
      <c r="N823" t="s">
        <v>21</v>
      </c>
      <c r="O823">
        <v>6000</v>
      </c>
      <c r="P823" t="str" cm="1">
        <f t="array" ref="P823">_xlfn.IFS(Hospital_Patient[[#This Row],[Age]]&lt;=18,"Young",Hospital_Patient[[#This Row],[Age]]&lt;=36,"Adult",Hospital_Patient[[#This Row],[Age]]&lt;=60,"Middle Age",Hospital_Patient[[#This Row],[Age]]&gt;60,"Senior")</f>
        <v>Middle Age</v>
      </c>
      <c r="Q823" t="str" cm="1">
        <f t="array" ref="Q8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3">
        <f>YEAR(Hospital_Patient[[#This Row],[Discharge_Date]])</f>
        <v>2022</v>
      </c>
    </row>
    <row r="824" spans="1:18" x14ac:dyDescent="0.25">
      <c r="A824">
        <v>789</v>
      </c>
      <c r="B824">
        <v>60</v>
      </c>
      <c r="C824" t="s">
        <v>15</v>
      </c>
      <c r="D824" t="s">
        <v>39</v>
      </c>
      <c r="E824" t="s">
        <v>40</v>
      </c>
      <c r="F824" s="5">
        <v>44774</v>
      </c>
      <c r="G824" s="5">
        <v>44833</v>
      </c>
      <c r="H824" t="s">
        <v>18</v>
      </c>
      <c r="I824">
        <v>2022</v>
      </c>
      <c r="J824">
        <v>59</v>
      </c>
      <c r="K824" t="s">
        <v>21</v>
      </c>
      <c r="L824" t="s">
        <v>20</v>
      </c>
      <c r="M824">
        <v>3</v>
      </c>
      <c r="N824" t="s">
        <v>19</v>
      </c>
      <c r="O824">
        <v>8000</v>
      </c>
      <c r="P824" t="str" cm="1">
        <f t="array" ref="P824">_xlfn.IFS(Hospital_Patient[[#This Row],[Age]]&lt;=18,"Young",Hospital_Patient[[#This Row],[Age]]&lt;=36,"Adult",Hospital_Patient[[#This Row],[Age]]&lt;=60,"Middle Age",Hospital_Patient[[#This Row],[Age]]&gt;60,"Senior")</f>
        <v>Middle Age</v>
      </c>
      <c r="Q824" t="str" cm="1">
        <f t="array" ref="Q8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4">
        <f>YEAR(Hospital_Patient[[#This Row],[Discharge_Date]])</f>
        <v>2022</v>
      </c>
    </row>
    <row r="825" spans="1:18" hidden="1" x14ac:dyDescent="0.25">
      <c r="A825">
        <v>38</v>
      </c>
      <c r="B825">
        <v>40</v>
      </c>
      <c r="C825" t="s">
        <v>22</v>
      </c>
      <c r="D825" t="s">
        <v>42</v>
      </c>
      <c r="E825" t="s">
        <v>43</v>
      </c>
      <c r="F825" s="5">
        <v>44823</v>
      </c>
      <c r="G825" s="5">
        <v>44831</v>
      </c>
      <c r="H825" t="s">
        <v>71</v>
      </c>
      <c r="I825">
        <v>2022</v>
      </c>
      <c r="J825">
        <v>8</v>
      </c>
      <c r="K825" t="s">
        <v>19</v>
      </c>
      <c r="L825" t="s">
        <v>20</v>
      </c>
      <c r="M825">
        <v>4</v>
      </c>
      <c r="N825" t="s">
        <v>19</v>
      </c>
      <c r="O825">
        <v>3000</v>
      </c>
      <c r="P825" t="str" cm="1">
        <f t="array" ref="P825">_xlfn.IFS(Hospital_Patient[[#This Row],[Age]]&lt;=18,"Young",Hospital_Patient[[#This Row],[Age]]&lt;=36,"Adult",Hospital_Patient[[#This Row],[Age]]&lt;=60,"Middle Age",Hospital_Patient[[#This Row],[Age]]&gt;60,"Senior")</f>
        <v>Middle Age</v>
      </c>
      <c r="Q825" t="str" cm="1">
        <f t="array" ref="Q8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25">
        <f>YEAR(Hospital_Patient[[#This Row],[Discharge_Date]])</f>
        <v>2022</v>
      </c>
    </row>
    <row r="826" spans="1:18" hidden="1" x14ac:dyDescent="0.25">
      <c r="A826">
        <v>171</v>
      </c>
      <c r="B826">
        <v>45</v>
      </c>
      <c r="C826" t="s">
        <v>22</v>
      </c>
      <c r="D826" t="s">
        <v>42</v>
      </c>
      <c r="E826" t="s">
        <v>43</v>
      </c>
      <c r="F826" s="5">
        <v>44813</v>
      </c>
      <c r="G826" s="5">
        <v>44830</v>
      </c>
      <c r="H826" t="s">
        <v>70</v>
      </c>
      <c r="I826">
        <v>2022</v>
      </c>
      <c r="J826">
        <v>17</v>
      </c>
      <c r="K826" t="s">
        <v>19</v>
      </c>
      <c r="L826" t="s">
        <v>20</v>
      </c>
      <c r="M826">
        <v>4</v>
      </c>
      <c r="N826" t="s">
        <v>19</v>
      </c>
      <c r="O826">
        <v>3000</v>
      </c>
      <c r="P826" t="str" cm="1">
        <f t="array" ref="P826">_xlfn.IFS(Hospital_Patient[[#This Row],[Age]]&lt;=18,"Young",Hospital_Patient[[#This Row],[Age]]&lt;=36,"Adult",Hospital_Patient[[#This Row],[Age]]&lt;=60,"Middle Age",Hospital_Patient[[#This Row],[Age]]&gt;60,"Senior")</f>
        <v>Middle Age</v>
      </c>
      <c r="Q826" t="str" cm="1">
        <f t="array" ref="Q8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26">
        <f>YEAR(Hospital_Patient[[#This Row],[Discharge_Date]])</f>
        <v>2022</v>
      </c>
    </row>
    <row r="827" spans="1:18" hidden="1" x14ac:dyDescent="0.25">
      <c r="A827">
        <v>362</v>
      </c>
      <c r="B827">
        <v>40</v>
      </c>
      <c r="C827" t="s">
        <v>22</v>
      </c>
      <c r="D827" t="s">
        <v>42</v>
      </c>
      <c r="E827" t="s">
        <v>43</v>
      </c>
      <c r="F827" s="5">
        <v>44800</v>
      </c>
      <c r="G827" s="5">
        <v>44830</v>
      </c>
      <c r="H827" t="s">
        <v>70</v>
      </c>
      <c r="I827">
        <v>2022</v>
      </c>
      <c r="J827">
        <v>30</v>
      </c>
      <c r="K827" t="s">
        <v>19</v>
      </c>
      <c r="L827" t="s">
        <v>20</v>
      </c>
      <c r="M827">
        <v>4</v>
      </c>
      <c r="N827" t="s">
        <v>21</v>
      </c>
      <c r="O827">
        <v>3000</v>
      </c>
      <c r="P827" t="str" cm="1">
        <f t="array" ref="P827">_xlfn.IFS(Hospital_Patient[[#This Row],[Age]]&lt;=18,"Young",Hospital_Patient[[#This Row],[Age]]&lt;=36,"Adult",Hospital_Patient[[#This Row],[Age]]&lt;=60,"Middle Age",Hospital_Patient[[#This Row],[Age]]&gt;60,"Senior")</f>
        <v>Middle Age</v>
      </c>
      <c r="Q827" t="str" cm="1">
        <f t="array" ref="Q8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27">
        <f>YEAR(Hospital_Patient[[#This Row],[Discharge_Date]])</f>
        <v>2022</v>
      </c>
    </row>
    <row r="828" spans="1:18" x14ac:dyDescent="0.25">
      <c r="A828">
        <v>570</v>
      </c>
      <c r="B828">
        <v>78</v>
      </c>
      <c r="C828" t="s">
        <v>15</v>
      </c>
      <c r="D828" t="s">
        <v>45</v>
      </c>
      <c r="E828" t="s">
        <v>46</v>
      </c>
      <c r="F828" s="5">
        <v>44783</v>
      </c>
      <c r="G828" s="5">
        <v>44829</v>
      </c>
      <c r="H828" t="s">
        <v>69</v>
      </c>
      <c r="I828">
        <v>2022</v>
      </c>
      <c r="J828">
        <v>46</v>
      </c>
      <c r="K828" t="s">
        <v>21</v>
      </c>
      <c r="L828" t="s">
        <v>26</v>
      </c>
      <c r="M828">
        <v>2</v>
      </c>
      <c r="N828" t="s">
        <v>21</v>
      </c>
      <c r="O828">
        <v>18000</v>
      </c>
      <c r="P828" t="str" cm="1">
        <f t="array" ref="P828">_xlfn.IFS(Hospital_Patient[[#This Row],[Age]]&lt;=18,"Young",Hospital_Patient[[#This Row],[Age]]&lt;=36,"Adult",Hospital_Patient[[#This Row],[Age]]&lt;=60,"Middle Age",Hospital_Patient[[#This Row],[Age]]&gt;60,"Senior")</f>
        <v>Senior</v>
      </c>
      <c r="Q828" t="str" cm="1">
        <f t="array" ref="Q8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8">
        <f>YEAR(Hospital_Patient[[#This Row],[Discharge_Date]])</f>
        <v>2022</v>
      </c>
    </row>
    <row r="829" spans="1:18" x14ac:dyDescent="0.25">
      <c r="A829">
        <v>825</v>
      </c>
      <c r="B829">
        <v>35</v>
      </c>
      <c r="C829" t="s">
        <v>15</v>
      </c>
      <c r="D829" t="s">
        <v>54</v>
      </c>
      <c r="E829" t="s">
        <v>55</v>
      </c>
      <c r="F829" s="5">
        <v>44769</v>
      </c>
      <c r="G829" s="5">
        <v>44827</v>
      </c>
      <c r="H829" t="s">
        <v>78</v>
      </c>
      <c r="I829">
        <v>2022</v>
      </c>
      <c r="J829">
        <v>58</v>
      </c>
      <c r="K829" t="s">
        <v>19</v>
      </c>
      <c r="L829" t="s">
        <v>20</v>
      </c>
      <c r="M829">
        <v>4</v>
      </c>
      <c r="N829" t="s">
        <v>19</v>
      </c>
      <c r="O829">
        <v>12000</v>
      </c>
      <c r="P829" t="str" cm="1">
        <f t="array" ref="P829">_xlfn.IFS(Hospital_Patient[[#This Row],[Age]]&lt;=18,"Young",Hospital_Patient[[#This Row],[Age]]&lt;=36,"Adult",Hospital_Patient[[#This Row],[Age]]&lt;=60,"Middle Age",Hospital_Patient[[#This Row],[Age]]&gt;60,"Senior")</f>
        <v>Adult</v>
      </c>
      <c r="Q829" t="str" cm="1">
        <f t="array" ref="Q8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29">
        <f>YEAR(Hospital_Patient[[#This Row],[Discharge_Date]])</f>
        <v>2022</v>
      </c>
    </row>
    <row r="830" spans="1:18" hidden="1" x14ac:dyDescent="0.25">
      <c r="A830">
        <v>253</v>
      </c>
      <c r="B830">
        <v>62</v>
      </c>
      <c r="C830" t="s">
        <v>22</v>
      </c>
      <c r="D830" t="s">
        <v>23</v>
      </c>
      <c r="E830" t="s">
        <v>24</v>
      </c>
      <c r="F830" s="5">
        <v>44805</v>
      </c>
      <c r="G830" s="5">
        <v>44825</v>
      </c>
      <c r="H830" t="s">
        <v>72</v>
      </c>
      <c r="I830">
        <v>2022</v>
      </c>
      <c r="J830">
        <v>20</v>
      </c>
      <c r="K830" t="s">
        <v>19</v>
      </c>
      <c r="L830" t="s">
        <v>26</v>
      </c>
      <c r="M830">
        <v>4</v>
      </c>
      <c r="N830" t="s">
        <v>21</v>
      </c>
      <c r="O830">
        <v>2000</v>
      </c>
      <c r="P830" t="str" cm="1">
        <f t="array" ref="P830">_xlfn.IFS(Hospital_Patient[[#This Row],[Age]]&lt;=18,"Young",Hospital_Patient[[#This Row],[Age]]&lt;=36,"Adult",Hospital_Patient[[#This Row],[Age]]&lt;=60,"Middle Age",Hospital_Patient[[#This Row],[Age]]&gt;60,"Senior")</f>
        <v>Senior</v>
      </c>
      <c r="Q830" t="str" cm="1">
        <f t="array" ref="Q8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30">
        <f>YEAR(Hospital_Patient[[#This Row],[Discharge_Date]])</f>
        <v>2022</v>
      </c>
    </row>
    <row r="831" spans="1:18" hidden="1" x14ac:dyDescent="0.25">
      <c r="A831">
        <v>423</v>
      </c>
      <c r="B831">
        <v>25</v>
      </c>
      <c r="C831" t="s">
        <v>22</v>
      </c>
      <c r="D831" t="s">
        <v>47</v>
      </c>
      <c r="E831" t="s">
        <v>48</v>
      </c>
      <c r="F831" s="5">
        <v>44796</v>
      </c>
      <c r="G831" s="5">
        <v>44825</v>
      </c>
      <c r="H831" t="s">
        <v>29</v>
      </c>
      <c r="I831">
        <v>2022</v>
      </c>
      <c r="J831">
        <v>29</v>
      </c>
      <c r="K831" t="s">
        <v>19</v>
      </c>
      <c r="L831" t="s">
        <v>20</v>
      </c>
      <c r="M831">
        <v>5</v>
      </c>
      <c r="N831" t="s">
        <v>19</v>
      </c>
      <c r="O831">
        <v>100</v>
      </c>
      <c r="P831" t="str" cm="1">
        <f t="array" ref="P831">_xlfn.IFS(Hospital_Patient[[#This Row],[Age]]&lt;=18,"Young",Hospital_Patient[[#This Row],[Age]]&lt;=36,"Adult",Hospital_Patient[[#This Row],[Age]]&lt;=60,"Middle Age",Hospital_Patient[[#This Row],[Age]]&gt;60,"Senior")</f>
        <v>Adult</v>
      </c>
      <c r="Q831" t="str" cm="1">
        <f t="array" ref="Q8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31">
        <f>YEAR(Hospital_Patient[[#This Row],[Discharge_Date]])</f>
        <v>2022</v>
      </c>
    </row>
    <row r="832" spans="1:18" x14ac:dyDescent="0.25">
      <c r="A832">
        <v>721</v>
      </c>
      <c r="B832">
        <v>32</v>
      </c>
      <c r="C832" t="s">
        <v>15</v>
      </c>
      <c r="D832" t="s">
        <v>54</v>
      </c>
      <c r="E832" t="s">
        <v>55</v>
      </c>
      <c r="F832" s="5">
        <v>44772</v>
      </c>
      <c r="G832" s="5">
        <v>44823</v>
      </c>
      <c r="H832" t="s">
        <v>68</v>
      </c>
      <c r="I832">
        <v>2022</v>
      </c>
      <c r="J832">
        <v>51</v>
      </c>
      <c r="K832" t="s">
        <v>19</v>
      </c>
      <c r="L832" t="s">
        <v>20</v>
      </c>
      <c r="M832">
        <v>4</v>
      </c>
      <c r="N832" t="s">
        <v>19</v>
      </c>
      <c r="O832">
        <v>12000</v>
      </c>
      <c r="P832" t="str" cm="1">
        <f t="array" ref="P832">_xlfn.IFS(Hospital_Patient[[#This Row],[Age]]&lt;=18,"Young",Hospital_Patient[[#This Row],[Age]]&lt;=36,"Adult",Hospital_Patient[[#This Row],[Age]]&lt;=60,"Middle Age",Hospital_Patient[[#This Row],[Age]]&gt;60,"Senior")</f>
        <v>Adult</v>
      </c>
      <c r="Q832" t="str" cm="1">
        <f t="array" ref="Q8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32">
        <f>YEAR(Hospital_Patient[[#This Row],[Discharge_Date]])</f>
        <v>2022</v>
      </c>
    </row>
    <row r="833" spans="1:18" x14ac:dyDescent="0.25">
      <c r="A833">
        <v>96</v>
      </c>
      <c r="B833">
        <v>45</v>
      </c>
      <c r="C833" t="s">
        <v>15</v>
      </c>
      <c r="D833" t="s">
        <v>39</v>
      </c>
      <c r="E833" t="s">
        <v>40</v>
      </c>
      <c r="F833" s="5">
        <v>44807</v>
      </c>
      <c r="G833" s="5">
        <v>44817</v>
      </c>
      <c r="H833" t="s">
        <v>73</v>
      </c>
      <c r="I833">
        <v>2022</v>
      </c>
      <c r="J833">
        <v>10</v>
      </c>
      <c r="K833" t="s">
        <v>19</v>
      </c>
      <c r="L833" t="s">
        <v>20</v>
      </c>
      <c r="M833">
        <v>3</v>
      </c>
      <c r="N833" t="s">
        <v>19</v>
      </c>
      <c r="O833">
        <v>8000</v>
      </c>
      <c r="P833" t="str" cm="1">
        <f t="array" ref="P833">_xlfn.IFS(Hospital_Patient[[#This Row],[Age]]&lt;=18,"Young",Hospital_Patient[[#This Row],[Age]]&lt;=36,"Adult",Hospital_Patient[[#This Row],[Age]]&lt;=60,"Middle Age",Hospital_Patient[[#This Row],[Age]]&gt;60,"Senior")</f>
        <v>Middle Age</v>
      </c>
      <c r="Q833" t="str" cm="1">
        <f t="array" ref="Q8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33">
        <f>YEAR(Hospital_Patient[[#This Row],[Discharge_Date]])</f>
        <v>2022</v>
      </c>
    </row>
    <row r="834" spans="1:18" x14ac:dyDescent="0.25">
      <c r="A834">
        <v>284</v>
      </c>
      <c r="B834">
        <v>35</v>
      </c>
      <c r="C834" t="s">
        <v>15</v>
      </c>
      <c r="D834" t="s">
        <v>27</v>
      </c>
      <c r="E834" t="s">
        <v>28</v>
      </c>
      <c r="F834" s="5">
        <v>44793</v>
      </c>
      <c r="G834" s="5">
        <v>44813</v>
      </c>
      <c r="H834" t="s">
        <v>77</v>
      </c>
      <c r="I834">
        <v>2022</v>
      </c>
      <c r="J834">
        <v>20</v>
      </c>
      <c r="K834" t="s">
        <v>21</v>
      </c>
      <c r="L834" t="s">
        <v>20</v>
      </c>
      <c r="M834">
        <v>5</v>
      </c>
      <c r="N834" t="s">
        <v>21</v>
      </c>
      <c r="O834">
        <v>500</v>
      </c>
      <c r="P834" t="str" cm="1">
        <f t="array" ref="P834">_xlfn.IFS(Hospital_Patient[[#This Row],[Age]]&lt;=18,"Young",Hospital_Patient[[#This Row],[Age]]&lt;=36,"Adult",Hospital_Patient[[#This Row],[Age]]&lt;=60,"Middle Age",Hospital_Patient[[#This Row],[Age]]&gt;60,"Senior")</f>
        <v>Adult</v>
      </c>
      <c r="Q834" t="str" cm="1">
        <f t="array" ref="Q8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34">
        <f>YEAR(Hospital_Patient[[#This Row],[Discharge_Date]])</f>
        <v>2022</v>
      </c>
    </row>
    <row r="835" spans="1:18" hidden="1" x14ac:dyDescent="0.25">
      <c r="A835">
        <v>634</v>
      </c>
      <c r="B835">
        <v>55</v>
      </c>
      <c r="C835" t="s">
        <v>22</v>
      </c>
      <c r="D835" t="s">
        <v>57</v>
      </c>
      <c r="E835" t="s">
        <v>58</v>
      </c>
      <c r="F835" s="5">
        <v>44766</v>
      </c>
      <c r="G835" s="5">
        <v>44812</v>
      </c>
      <c r="H835" t="s">
        <v>76</v>
      </c>
      <c r="I835">
        <v>2022</v>
      </c>
      <c r="J835">
        <v>46</v>
      </c>
      <c r="K835" t="s">
        <v>19</v>
      </c>
      <c r="L835" t="s">
        <v>20</v>
      </c>
      <c r="M835">
        <v>3</v>
      </c>
      <c r="N835" t="s">
        <v>21</v>
      </c>
      <c r="O835">
        <v>6000</v>
      </c>
      <c r="P835" t="str" cm="1">
        <f t="array" ref="P835">_xlfn.IFS(Hospital_Patient[[#This Row],[Age]]&lt;=18,"Young",Hospital_Patient[[#This Row],[Age]]&lt;=36,"Adult",Hospital_Patient[[#This Row],[Age]]&lt;=60,"Middle Age",Hospital_Patient[[#This Row],[Age]]&gt;60,"Senior")</f>
        <v>Middle Age</v>
      </c>
      <c r="Q835" t="str" cm="1">
        <f t="array" ref="Q8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35">
        <f>YEAR(Hospital_Patient[[#This Row],[Discharge_Date]])</f>
        <v>2022</v>
      </c>
    </row>
    <row r="836" spans="1:18" x14ac:dyDescent="0.25">
      <c r="A836">
        <v>768</v>
      </c>
      <c r="B836">
        <v>60</v>
      </c>
      <c r="C836" t="s">
        <v>15</v>
      </c>
      <c r="D836" t="s">
        <v>59</v>
      </c>
      <c r="E836" t="s">
        <v>60</v>
      </c>
      <c r="F836" s="5">
        <v>44755</v>
      </c>
      <c r="G836" s="5">
        <v>44811</v>
      </c>
      <c r="H836" t="s">
        <v>61</v>
      </c>
      <c r="I836">
        <v>2022</v>
      </c>
      <c r="J836">
        <v>56</v>
      </c>
      <c r="K836" t="s">
        <v>19</v>
      </c>
      <c r="L836" t="s">
        <v>26</v>
      </c>
      <c r="M836">
        <v>4</v>
      </c>
      <c r="N836" t="s">
        <v>19</v>
      </c>
      <c r="O836">
        <v>4000</v>
      </c>
      <c r="P836" t="str" cm="1">
        <f t="array" ref="P836">_xlfn.IFS(Hospital_Patient[[#This Row],[Age]]&lt;=18,"Young",Hospital_Patient[[#This Row],[Age]]&lt;=36,"Adult",Hospital_Patient[[#This Row],[Age]]&lt;=60,"Middle Age",Hospital_Patient[[#This Row],[Age]]&gt;60,"Senior")</f>
        <v>Middle Age</v>
      </c>
      <c r="Q836" t="str" cm="1">
        <f t="array" ref="Q8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36">
        <f>YEAR(Hospital_Patient[[#This Row],[Discharge_Date]])</f>
        <v>2022</v>
      </c>
    </row>
    <row r="837" spans="1:18" hidden="1" x14ac:dyDescent="0.25">
      <c r="A837">
        <v>167</v>
      </c>
      <c r="B837">
        <v>78</v>
      </c>
      <c r="C837" t="s">
        <v>22</v>
      </c>
      <c r="D837" t="s">
        <v>30</v>
      </c>
      <c r="E837" t="s">
        <v>31</v>
      </c>
      <c r="F837" s="5">
        <v>44791</v>
      </c>
      <c r="G837" s="5">
        <v>44809</v>
      </c>
      <c r="H837" t="s">
        <v>63</v>
      </c>
      <c r="I837">
        <v>2022</v>
      </c>
      <c r="J837">
        <v>18</v>
      </c>
      <c r="K837" t="s">
        <v>19</v>
      </c>
      <c r="L837" t="s">
        <v>26</v>
      </c>
      <c r="M837">
        <v>2</v>
      </c>
      <c r="N837" t="s">
        <v>19</v>
      </c>
      <c r="O837">
        <v>10000</v>
      </c>
      <c r="P837" t="str" cm="1">
        <f t="array" ref="P837">_xlfn.IFS(Hospital_Patient[[#This Row],[Age]]&lt;=18,"Young",Hospital_Patient[[#This Row],[Age]]&lt;=36,"Adult",Hospital_Patient[[#This Row],[Age]]&lt;=60,"Middle Age",Hospital_Patient[[#This Row],[Age]]&gt;60,"Senior")</f>
        <v>Senior</v>
      </c>
      <c r="Q837" t="str" cm="1">
        <f t="array" ref="Q8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37">
        <f>YEAR(Hospital_Patient[[#This Row],[Discharge_Date]])</f>
        <v>2022</v>
      </c>
    </row>
    <row r="838" spans="1:18" x14ac:dyDescent="0.25">
      <c r="A838">
        <v>711</v>
      </c>
      <c r="B838">
        <v>30</v>
      </c>
      <c r="C838" t="s">
        <v>15</v>
      </c>
      <c r="D838" t="s">
        <v>27</v>
      </c>
      <c r="E838" t="s">
        <v>28</v>
      </c>
      <c r="F838" s="5">
        <v>44760</v>
      </c>
      <c r="G838" s="5">
        <v>44809</v>
      </c>
      <c r="H838" t="s">
        <v>77</v>
      </c>
      <c r="I838">
        <v>2022</v>
      </c>
      <c r="J838">
        <v>49</v>
      </c>
      <c r="K838" t="s">
        <v>19</v>
      </c>
      <c r="L838" t="s">
        <v>20</v>
      </c>
      <c r="M838">
        <v>5</v>
      </c>
      <c r="N838" t="s">
        <v>19</v>
      </c>
      <c r="O838">
        <v>500</v>
      </c>
      <c r="P838" t="str" cm="1">
        <f t="array" ref="P838">_xlfn.IFS(Hospital_Patient[[#This Row],[Age]]&lt;=18,"Young",Hospital_Patient[[#This Row],[Age]]&lt;=36,"Adult",Hospital_Patient[[#This Row],[Age]]&lt;=60,"Middle Age",Hospital_Patient[[#This Row],[Age]]&gt;60,"Senior")</f>
        <v>Adult</v>
      </c>
      <c r="Q838" t="str" cm="1">
        <f t="array" ref="Q8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38">
        <f>YEAR(Hospital_Patient[[#This Row],[Discharge_Date]])</f>
        <v>2022</v>
      </c>
    </row>
    <row r="839" spans="1:18" hidden="1" x14ac:dyDescent="0.25">
      <c r="A839">
        <v>757</v>
      </c>
      <c r="B839">
        <v>78</v>
      </c>
      <c r="C839" t="s">
        <v>22</v>
      </c>
      <c r="D839" t="s">
        <v>30</v>
      </c>
      <c r="E839" t="s">
        <v>31</v>
      </c>
      <c r="F839" s="5">
        <v>44748</v>
      </c>
      <c r="G839" s="5">
        <v>44807</v>
      </c>
      <c r="H839" t="s">
        <v>32</v>
      </c>
      <c r="I839">
        <v>2022</v>
      </c>
      <c r="J839">
        <v>59</v>
      </c>
      <c r="K839" t="s">
        <v>19</v>
      </c>
      <c r="L839" t="s">
        <v>26</v>
      </c>
      <c r="M839">
        <v>2</v>
      </c>
      <c r="N839" t="s">
        <v>21</v>
      </c>
      <c r="O839">
        <v>10000</v>
      </c>
      <c r="P839" t="str" cm="1">
        <f t="array" ref="P839">_xlfn.IFS(Hospital_Patient[[#This Row],[Age]]&lt;=18,"Young",Hospital_Patient[[#This Row],[Age]]&lt;=36,"Adult",Hospital_Patient[[#This Row],[Age]]&lt;=60,"Middle Age",Hospital_Patient[[#This Row],[Age]]&gt;60,"Senior")</f>
        <v>Senior</v>
      </c>
      <c r="Q839" t="str" cm="1">
        <f t="array" ref="Q8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39">
        <f>YEAR(Hospital_Patient[[#This Row],[Discharge_Date]])</f>
        <v>2022</v>
      </c>
    </row>
    <row r="840" spans="1:18" x14ac:dyDescent="0.25">
      <c r="A840">
        <v>249</v>
      </c>
      <c r="B840">
        <v>32</v>
      </c>
      <c r="C840" t="s">
        <v>15</v>
      </c>
      <c r="D840" t="s">
        <v>54</v>
      </c>
      <c r="E840" t="s">
        <v>55</v>
      </c>
      <c r="F840" s="5">
        <v>44787</v>
      </c>
      <c r="G840" s="5">
        <v>44806</v>
      </c>
      <c r="H840" t="s">
        <v>68</v>
      </c>
      <c r="I840">
        <v>2022</v>
      </c>
      <c r="J840">
        <v>19</v>
      </c>
      <c r="K840" t="s">
        <v>19</v>
      </c>
      <c r="L840" t="s">
        <v>20</v>
      </c>
      <c r="M840">
        <v>4</v>
      </c>
      <c r="N840" t="s">
        <v>19</v>
      </c>
      <c r="O840">
        <v>12000</v>
      </c>
      <c r="P840" t="str" cm="1">
        <f t="array" ref="P840">_xlfn.IFS(Hospital_Patient[[#This Row],[Age]]&lt;=18,"Young",Hospital_Patient[[#This Row],[Age]]&lt;=36,"Adult",Hospital_Patient[[#This Row],[Age]]&lt;=60,"Middle Age",Hospital_Patient[[#This Row],[Age]]&gt;60,"Senior")</f>
        <v>Adult</v>
      </c>
      <c r="Q840" t="str" cm="1">
        <f t="array" ref="Q8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40">
        <f>YEAR(Hospital_Patient[[#This Row],[Discharge_Date]])</f>
        <v>2022</v>
      </c>
    </row>
    <row r="841" spans="1:18" hidden="1" x14ac:dyDescent="0.25">
      <c r="A841">
        <v>455</v>
      </c>
      <c r="B841">
        <v>58</v>
      </c>
      <c r="C841" t="s">
        <v>22</v>
      </c>
      <c r="D841" t="s">
        <v>52</v>
      </c>
      <c r="E841" t="s">
        <v>53</v>
      </c>
      <c r="F841" s="5">
        <v>44767</v>
      </c>
      <c r="G841" s="5">
        <v>44806</v>
      </c>
      <c r="H841" t="s">
        <v>18</v>
      </c>
      <c r="I841">
        <v>2022</v>
      </c>
      <c r="J841">
        <v>39</v>
      </c>
      <c r="K841" t="s">
        <v>19</v>
      </c>
      <c r="L841" t="s">
        <v>20</v>
      </c>
      <c r="M841">
        <v>3</v>
      </c>
      <c r="N841" t="s">
        <v>21</v>
      </c>
      <c r="O841">
        <v>20000</v>
      </c>
      <c r="P841" t="str" cm="1">
        <f t="array" ref="P841">_xlfn.IFS(Hospital_Patient[[#This Row],[Age]]&lt;=18,"Young",Hospital_Patient[[#This Row],[Age]]&lt;=36,"Adult",Hospital_Patient[[#This Row],[Age]]&lt;=60,"Middle Age",Hospital_Patient[[#This Row],[Age]]&gt;60,"Senior")</f>
        <v>Middle Age</v>
      </c>
      <c r="Q841" t="str" cm="1">
        <f t="array" ref="Q8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1">
        <f>YEAR(Hospital_Patient[[#This Row],[Discharge_Date]])</f>
        <v>2022</v>
      </c>
    </row>
    <row r="842" spans="1:18" x14ac:dyDescent="0.25">
      <c r="A842">
        <v>522</v>
      </c>
      <c r="B842">
        <v>53</v>
      </c>
      <c r="C842" t="s">
        <v>15</v>
      </c>
      <c r="D842" t="s">
        <v>33</v>
      </c>
      <c r="E842" t="s">
        <v>34</v>
      </c>
      <c r="F842" s="5">
        <v>44754</v>
      </c>
      <c r="G842" s="5">
        <v>44799</v>
      </c>
      <c r="H842" t="s">
        <v>64</v>
      </c>
      <c r="I842">
        <v>2022</v>
      </c>
      <c r="J842">
        <v>45</v>
      </c>
      <c r="K842" t="s">
        <v>21</v>
      </c>
      <c r="L842" t="s">
        <v>20</v>
      </c>
      <c r="M842">
        <v>4</v>
      </c>
      <c r="N842" t="s">
        <v>19</v>
      </c>
      <c r="O842">
        <v>25000</v>
      </c>
      <c r="P842" t="str" cm="1">
        <f t="array" ref="P842">_xlfn.IFS(Hospital_Patient[[#This Row],[Age]]&lt;=18,"Young",Hospital_Patient[[#This Row],[Age]]&lt;=36,"Adult",Hospital_Patient[[#This Row],[Age]]&lt;=60,"Middle Age",Hospital_Patient[[#This Row],[Age]]&gt;60,"Senior")</f>
        <v>Middle Age</v>
      </c>
      <c r="Q842" t="str" cm="1">
        <f t="array" ref="Q8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2">
        <f>YEAR(Hospital_Patient[[#This Row],[Discharge_Date]])</f>
        <v>2022</v>
      </c>
    </row>
    <row r="843" spans="1:18" hidden="1" x14ac:dyDescent="0.25">
      <c r="A843">
        <v>735</v>
      </c>
      <c r="B843">
        <v>67</v>
      </c>
      <c r="C843" t="s">
        <v>22</v>
      </c>
      <c r="D843" t="s">
        <v>52</v>
      </c>
      <c r="E843" t="s">
        <v>53</v>
      </c>
      <c r="F843" s="5">
        <v>44740</v>
      </c>
      <c r="G843" s="5">
        <v>44798</v>
      </c>
      <c r="H843" t="s">
        <v>51</v>
      </c>
      <c r="I843">
        <v>2022</v>
      </c>
      <c r="J843">
        <v>58</v>
      </c>
      <c r="K843" t="s">
        <v>19</v>
      </c>
      <c r="L843" t="s">
        <v>20</v>
      </c>
      <c r="M843">
        <v>3</v>
      </c>
      <c r="N843" t="s">
        <v>19</v>
      </c>
      <c r="O843">
        <v>20000</v>
      </c>
      <c r="P843" t="str" cm="1">
        <f t="array" ref="P843">_xlfn.IFS(Hospital_Patient[[#This Row],[Age]]&lt;=18,"Young",Hospital_Patient[[#This Row],[Age]]&lt;=36,"Adult",Hospital_Patient[[#This Row],[Age]]&lt;=60,"Middle Age",Hospital_Patient[[#This Row],[Age]]&gt;60,"Senior")</f>
        <v>Senior</v>
      </c>
      <c r="Q843" t="str" cm="1">
        <f t="array" ref="Q8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3">
        <f>YEAR(Hospital_Patient[[#This Row],[Discharge_Date]])</f>
        <v>2022</v>
      </c>
    </row>
    <row r="844" spans="1:18" x14ac:dyDescent="0.25">
      <c r="A844">
        <v>444</v>
      </c>
      <c r="B844">
        <v>48</v>
      </c>
      <c r="C844" t="s">
        <v>15</v>
      </c>
      <c r="D844" t="s">
        <v>16</v>
      </c>
      <c r="E844" t="s">
        <v>17</v>
      </c>
      <c r="F844" s="5">
        <v>44762</v>
      </c>
      <c r="G844" s="5">
        <v>44797</v>
      </c>
      <c r="H844" t="s">
        <v>73</v>
      </c>
      <c r="I844">
        <v>2022</v>
      </c>
      <c r="J844">
        <v>35</v>
      </c>
      <c r="K844" t="s">
        <v>21</v>
      </c>
      <c r="L844" t="s">
        <v>20</v>
      </c>
      <c r="M844">
        <v>4</v>
      </c>
      <c r="N844" t="s">
        <v>19</v>
      </c>
      <c r="O844">
        <v>15000</v>
      </c>
      <c r="P844" t="str" cm="1">
        <f t="array" ref="P844">_xlfn.IFS(Hospital_Patient[[#This Row],[Age]]&lt;=18,"Young",Hospital_Patient[[#This Row],[Age]]&lt;=36,"Adult",Hospital_Patient[[#This Row],[Age]]&lt;=60,"Middle Age",Hospital_Patient[[#This Row],[Age]]&gt;60,"Senior")</f>
        <v>Middle Age</v>
      </c>
      <c r="Q844" t="str" cm="1">
        <f t="array" ref="Q8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4">
        <f>YEAR(Hospital_Patient[[#This Row],[Discharge_Date]])</f>
        <v>2022</v>
      </c>
    </row>
    <row r="845" spans="1:18" x14ac:dyDescent="0.25">
      <c r="A845">
        <v>808</v>
      </c>
      <c r="B845">
        <v>52</v>
      </c>
      <c r="C845" t="s">
        <v>15</v>
      </c>
      <c r="D845" t="s">
        <v>49</v>
      </c>
      <c r="E845" t="s">
        <v>50</v>
      </c>
      <c r="F845" s="5">
        <v>44741</v>
      </c>
      <c r="G845" s="5">
        <v>44797</v>
      </c>
      <c r="H845" t="s">
        <v>66</v>
      </c>
      <c r="I845">
        <v>2022</v>
      </c>
      <c r="J845">
        <v>56</v>
      </c>
      <c r="K845" t="s">
        <v>19</v>
      </c>
      <c r="L845" t="s">
        <v>26</v>
      </c>
      <c r="M845">
        <v>4</v>
      </c>
      <c r="N845" t="s">
        <v>21</v>
      </c>
      <c r="O845">
        <v>800</v>
      </c>
      <c r="P845" t="str" cm="1">
        <f t="array" ref="P845">_xlfn.IFS(Hospital_Patient[[#This Row],[Age]]&lt;=18,"Young",Hospital_Patient[[#This Row],[Age]]&lt;=36,"Adult",Hospital_Patient[[#This Row],[Age]]&lt;=60,"Middle Age",Hospital_Patient[[#This Row],[Age]]&gt;60,"Senior")</f>
        <v>Middle Age</v>
      </c>
      <c r="Q845" t="str" cm="1">
        <f t="array" ref="Q8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5">
        <f>YEAR(Hospital_Patient[[#This Row],[Discharge_Date]])</f>
        <v>2022</v>
      </c>
    </row>
    <row r="846" spans="1:18" x14ac:dyDescent="0.25">
      <c r="A846">
        <v>787</v>
      </c>
      <c r="B846">
        <v>53</v>
      </c>
      <c r="C846" t="s">
        <v>15</v>
      </c>
      <c r="D846" t="s">
        <v>33</v>
      </c>
      <c r="E846" t="s">
        <v>34</v>
      </c>
      <c r="F846" s="5">
        <v>44734</v>
      </c>
      <c r="G846" s="5">
        <v>44797</v>
      </c>
      <c r="H846" t="s">
        <v>35</v>
      </c>
      <c r="I846">
        <v>2022</v>
      </c>
      <c r="J846">
        <v>63</v>
      </c>
      <c r="K846" t="s">
        <v>21</v>
      </c>
      <c r="L846" t="s">
        <v>20</v>
      </c>
      <c r="M846">
        <v>4</v>
      </c>
      <c r="N846" t="s">
        <v>21</v>
      </c>
      <c r="O846">
        <v>25000</v>
      </c>
      <c r="P846" t="str" cm="1">
        <f t="array" ref="P846">_xlfn.IFS(Hospital_Patient[[#This Row],[Age]]&lt;=18,"Young",Hospital_Patient[[#This Row],[Age]]&lt;=36,"Adult",Hospital_Patient[[#This Row],[Age]]&lt;=60,"Middle Age",Hospital_Patient[[#This Row],[Age]]&gt;60,"Senior")</f>
        <v>Middle Age</v>
      </c>
      <c r="Q846" t="str" cm="1">
        <f t="array" ref="Q8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46">
        <f>YEAR(Hospital_Patient[[#This Row],[Discharge_Date]])</f>
        <v>2022</v>
      </c>
    </row>
    <row r="847" spans="1:18" hidden="1" x14ac:dyDescent="0.25">
      <c r="A847">
        <v>202</v>
      </c>
      <c r="B847">
        <v>28</v>
      </c>
      <c r="C847" t="s">
        <v>22</v>
      </c>
      <c r="D847" t="s">
        <v>47</v>
      </c>
      <c r="E847" t="s">
        <v>48</v>
      </c>
      <c r="F847" s="5">
        <v>44782</v>
      </c>
      <c r="G847" s="5">
        <v>44796</v>
      </c>
      <c r="H847" t="s">
        <v>74</v>
      </c>
      <c r="I847">
        <v>2022</v>
      </c>
      <c r="J847">
        <v>14</v>
      </c>
      <c r="K847" t="s">
        <v>19</v>
      </c>
      <c r="L847" t="s">
        <v>20</v>
      </c>
      <c r="M847">
        <v>5</v>
      </c>
      <c r="N847" t="s">
        <v>19</v>
      </c>
      <c r="O847">
        <v>100</v>
      </c>
      <c r="P847" t="str" cm="1">
        <f t="array" ref="P847">_xlfn.IFS(Hospital_Patient[[#This Row],[Age]]&lt;=18,"Young",Hospital_Patient[[#This Row],[Age]]&lt;=36,"Adult",Hospital_Patient[[#This Row],[Age]]&lt;=60,"Middle Age",Hospital_Patient[[#This Row],[Age]]&gt;60,"Senior")</f>
        <v>Adult</v>
      </c>
      <c r="Q847" t="str" cm="1">
        <f t="array" ref="Q8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47">
        <f>YEAR(Hospital_Patient[[#This Row],[Discharge_Date]])</f>
        <v>2022</v>
      </c>
    </row>
    <row r="848" spans="1:18" hidden="1" x14ac:dyDescent="0.25">
      <c r="A848">
        <v>466</v>
      </c>
      <c r="B848">
        <v>45</v>
      </c>
      <c r="C848" t="s">
        <v>22</v>
      </c>
      <c r="D848" t="s">
        <v>42</v>
      </c>
      <c r="E848" t="s">
        <v>43</v>
      </c>
      <c r="F848" s="5">
        <v>44758</v>
      </c>
      <c r="G848" s="5">
        <v>44795</v>
      </c>
      <c r="H848" t="s">
        <v>44</v>
      </c>
      <c r="I848">
        <v>2022</v>
      </c>
      <c r="J848">
        <v>37</v>
      </c>
      <c r="K848" t="s">
        <v>19</v>
      </c>
      <c r="L848" t="s">
        <v>20</v>
      </c>
      <c r="M848">
        <v>4</v>
      </c>
      <c r="N848" t="s">
        <v>21</v>
      </c>
      <c r="O848">
        <v>3000</v>
      </c>
      <c r="P848" t="str" cm="1">
        <f t="array" ref="P848">_xlfn.IFS(Hospital_Patient[[#This Row],[Age]]&lt;=18,"Young",Hospital_Patient[[#This Row],[Age]]&lt;=36,"Adult",Hospital_Patient[[#This Row],[Age]]&lt;=60,"Middle Age",Hospital_Patient[[#This Row],[Age]]&gt;60,"Senior")</f>
        <v>Middle Age</v>
      </c>
      <c r="Q848" t="str" cm="1">
        <f t="array" ref="Q8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8">
        <f>YEAR(Hospital_Patient[[#This Row],[Discharge_Date]])</f>
        <v>2022</v>
      </c>
    </row>
    <row r="849" spans="1:18" x14ac:dyDescent="0.25">
      <c r="A849">
        <v>492</v>
      </c>
      <c r="B849">
        <v>53</v>
      </c>
      <c r="C849" t="s">
        <v>15</v>
      </c>
      <c r="D849" t="s">
        <v>33</v>
      </c>
      <c r="E849" t="s">
        <v>34</v>
      </c>
      <c r="F849" s="5">
        <v>44752</v>
      </c>
      <c r="G849" s="5">
        <v>44795</v>
      </c>
      <c r="H849" t="s">
        <v>64</v>
      </c>
      <c r="I849">
        <v>2022</v>
      </c>
      <c r="J849">
        <v>43</v>
      </c>
      <c r="K849" t="s">
        <v>21</v>
      </c>
      <c r="L849" t="s">
        <v>20</v>
      </c>
      <c r="M849">
        <v>4</v>
      </c>
      <c r="N849" t="s">
        <v>21</v>
      </c>
      <c r="O849">
        <v>25000</v>
      </c>
      <c r="P849" t="str" cm="1">
        <f t="array" ref="P849">_xlfn.IFS(Hospital_Patient[[#This Row],[Age]]&lt;=18,"Young",Hospital_Patient[[#This Row],[Age]]&lt;=36,"Adult",Hospital_Patient[[#This Row],[Age]]&lt;=60,"Middle Age",Hospital_Patient[[#This Row],[Age]]&gt;60,"Senior")</f>
        <v>Middle Age</v>
      </c>
      <c r="Q849" t="str" cm="1">
        <f t="array" ref="Q8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49">
        <f>YEAR(Hospital_Patient[[#This Row],[Discharge_Date]])</f>
        <v>2022</v>
      </c>
    </row>
    <row r="850" spans="1:18" x14ac:dyDescent="0.25">
      <c r="A850">
        <v>520</v>
      </c>
      <c r="B850">
        <v>35</v>
      </c>
      <c r="C850" t="s">
        <v>15</v>
      </c>
      <c r="D850" t="s">
        <v>27</v>
      </c>
      <c r="E850" t="s">
        <v>28</v>
      </c>
      <c r="F850" s="5">
        <v>44758</v>
      </c>
      <c r="G850" s="5">
        <v>44794</v>
      </c>
      <c r="H850" t="s">
        <v>29</v>
      </c>
      <c r="I850">
        <v>2022</v>
      </c>
      <c r="J850">
        <v>36</v>
      </c>
      <c r="K850" t="s">
        <v>21</v>
      </c>
      <c r="L850" t="s">
        <v>20</v>
      </c>
      <c r="M850">
        <v>5</v>
      </c>
      <c r="N850" t="s">
        <v>21</v>
      </c>
      <c r="O850">
        <v>500</v>
      </c>
      <c r="P850" t="str" cm="1">
        <f t="array" ref="P850">_xlfn.IFS(Hospital_Patient[[#This Row],[Age]]&lt;=18,"Young",Hospital_Patient[[#This Row],[Age]]&lt;=36,"Adult",Hospital_Patient[[#This Row],[Age]]&lt;=60,"Middle Age",Hospital_Patient[[#This Row],[Age]]&gt;60,"Senior")</f>
        <v>Adult</v>
      </c>
      <c r="Q850" t="str" cm="1">
        <f t="array" ref="Q8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50">
        <f>YEAR(Hospital_Patient[[#This Row],[Discharge_Date]])</f>
        <v>2022</v>
      </c>
    </row>
    <row r="851" spans="1:18" hidden="1" x14ac:dyDescent="0.25">
      <c r="A851">
        <v>641</v>
      </c>
      <c r="B851">
        <v>72</v>
      </c>
      <c r="C851" t="s">
        <v>22</v>
      </c>
      <c r="D851" t="s">
        <v>36</v>
      </c>
      <c r="E851" t="s">
        <v>37</v>
      </c>
      <c r="F851" s="5">
        <v>44745</v>
      </c>
      <c r="G851" s="5">
        <v>44792</v>
      </c>
      <c r="H851" t="s">
        <v>38</v>
      </c>
      <c r="I851">
        <v>2022</v>
      </c>
      <c r="J851">
        <v>47</v>
      </c>
      <c r="K851" t="s">
        <v>19</v>
      </c>
      <c r="L851" t="s">
        <v>26</v>
      </c>
      <c r="M851">
        <v>4</v>
      </c>
      <c r="N851" t="s">
        <v>19</v>
      </c>
      <c r="O851">
        <v>1000</v>
      </c>
      <c r="P851" t="str" cm="1">
        <f t="array" ref="P851">_xlfn.IFS(Hospital_Patient[[#This Row],[Age]]&lt;=18,"Young",Hospital_Patient[[#This Row],[Age]]&lt;=36,"Adult",Hospital_Patient[[#This Row],[Age]]&lt;=60,"Middle Age",Hospital_Patient[[#This Row],[Age]]&gt;60,"Senior")</f>
        <v>Senior</v>
      </c>
      <c r="Q851" t="str" cm="1">
        <f t="array" ref="Q8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51">
        <f>YEAR(Hospital_Patient[[#This Row],[Discharge_Date]])</f>
        <v>2022</v>
      </c>
    </row>
    <row r="852" spans="1:18" hidden="1" x14ac:dyDescent="0.25">
      <c r="A852">
        <v>923</v>
      </c>
      <c r="B852">
        <v>40</v>
      </c>
      <c r="C852" t="s">
        <v>22</v>
      </c>
      <c r="D852" t="s">
        <v>42</v>
      </c>
      <c r="E852" t="s">
        <v>43</v>
      </c>
      <c r="F852" s="5">
        <v>44722</v>
      </c>
      <c r="G852" s="5">
        <v>44790</v>
      </c>
      <c r="H852" t="s">
        <v>44</v>
      </c>
      <c r="I852">
        <v>2022</v>
      </c>
      <c r="J852">
        <v>68</v>
      </c>
      <c r="K852" t="s">
        <v>19</v>
      </c>
      <c r="L852" t="s">
        <v>20</v>
      </c>
      <c r="M852">
        <v>4</v>
      </c>
      <c r="N852" t="s">
        <v>21</v>
      </c>
      <c r="O852">
        <v>3000</v>
      </c>
      <c r="P852" t="str" cm="1">
        <f t="array" ref="P852">_xlfn.IFS(Hospital_Patient[[#This Row],[Age]]&lt;=18,"Young",Hospital_Patient[[#This Row],[Age]]&lt;=36,"Adult",Hospital_Patient[[#This Row],[Age]]&lt;=60,"Middle Age",Hospital_Patient[[#This Row],[Age]]&gt;60,"Senior")</f>
        <v>Middle Age</v>
      </c>
      <c r="Q852" t="str" cm="1">
        <f t="array" ref="Q8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52">
        <f>YEAR(Hospital_Patient[[#This Row],[Discharge_Date]])</f>
        <v>2022</v>
      </c>
    </row>
    <row r="853" spans="1:18" hidden="1" x14ac:dyDescent="0.25">
      <c r="A853">
        <v>158</v>
      </c>
      <c r="B853">
        <v>25</v>
      </c>
      <c r="C853" t="s">
        <v>22</v>
      </c>
      <c r="D853" t="s">
        <v>47</v>
      </c>
      <c r="E853" t="s">
        <v>48</v>
      </c>
      <c r="F853" s="5">
        <v>44777</v>
      </c>
      <c r="G853" s="5">
        <v>44788</v>
      </c>
      <c r="H853" t="s">
        <v>74</v>
      </c>
      <c r="I853">
        <v>2022</v>
      </c>
      <c r="J853">
        <v>11</v>
      </c>
      <c r="K853" t="s">
        <v>19</v>
      </c>
      <c r="L853" t="s">
        <v>20</v>
      </c>
      <c r="M853">
        <v>5</v>
      </c>
      <c r="N853" t="s">
        <v>19</v>
      </c>
      <c r="O853">
        <v>100</v>
      </c>
      <c r="P853" t="str" cm="1">
        <f t="array" ref="P853">_xlfn.IFS(Hospital_Patient[[#This Row],[Age]]&lt;=18,"Young",Hospital_Patient[[#This Row],[Age]]&lt;=36,"Adult",Hospital_Patient[[#This Row],[Age]]&lt;=60,"Middle Age",Hospital_Patient[[#This Row],[Age]]&gt;60,"Senior")</f>
        <v>Adult</v>
      </c>
      <c r="Q853" t="str" cm="1">
        <f t="array" ref="Q8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853">
        <f>YEAR(Hospital_Patient[[#This Row],[Discharge_Date]])</f>
        <v>2022</v>
      </c>
    </row>
    <row r="854" spans="1:18" hidden="1" x14ac:dyDescent="0.25">
      <c r="A854">
        <v>36</v>
      </c>
      <c r="B854">
        <v>68</v>
      </c>
      <c r="C854" t="s">
        <v>22</v>
      </c>
      <c r="D854" t="s">
        <v>36</v>
      </c>
      <c r="E854" t="s">
        <v>37</v>
      </c>
      <c r="F854" s="5">
        <v>44783</v>
      </c>
      <c r="G854" s="5">
        <v>44787</v>
      </c>
      <c r="H854" t="s">
        <v>69</v>
      </c>
      <c r="I854">
        <v>2022</v>
      </c>
      <c r="J854">
        <v>4</v>
      </c>
      <c r="K854" t="s">
        <v>19</v>
      </c>
      <c r="L854" t="s">
        <v>26</v>
      </c>
      <c r="M854">
        <v>4</v>
      </c>
      <c r="N854" t="s">
        <v>21</v>
      </c>
      <c r="O854">
        <v>1000</v>
      </c>
      <c r="P854" t="str" cm="1">
        <f t="array" ref="P854">_xlfn.IFS(Hospital_Patient[[#This Row],[Age]]&lt;=18,"Young",Hospital_Patient[[#This Row],[Age]]&lt;=36,"Adult",Hospital_Patient[[#This Row],[Age]]&lt;=60,"Middle Age",Hospital_Patient[[#This Row],[Age]]&gt;60,"Senior")</f>
        <v>Senior</v>
      </c>
      <c r="Q854" t="str" cm="1">
        <f t="array" ref="Q8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54">
        <f>YEAR(Hospital_Patient[[#This Row],[Discharge_Date]])</f>
        <v>2022</v>
      </c>
    </row>
    <row r="855" spans="1:18" x14ac:dyDescent="0.25">
      <c r="A855">
        <v>709</v>
      </c>
      <c r="B855">
        <v>60</v>
      </c>
      <c r="C855" t="s">
        <v>15</v>
      </c>
      <c r="D855" t="s">
        <v>59</v>
      </c>
      <c r="E855" t="s">
        <v>60</v>
      </c>
      <c r="F855" s="5">
        <v>44734</v>
      </c>
      <c r="G855" s="5">
        <v>44786</v>
      </c>
      <c r="H855" t="s">
        <v>75</v>
      </c>
      <c r="I855">
        <v>2022</v>
      </c>
      <c r="J855">
        <v>52</v>
      </c>
      <c r="K855" t="s">
        <v>19</v>
      </c>
      <c r="L855" t="s">
        <v>26</v>
      </c>
      <c r="M855">
        <v>4</v>
      </c>
      <c r="N855" t="s">
        <v>21</v>
      </c>
      <c r="O855">
        <v>4000</v>
      </c>
      <c r="P855" t="str" cm="1">
        <f t="array" ref="P855">_xlfn.IFS(Hospital_Patient[[#This Row],[Age]]&lt;=18,"Young",Hospital_Patient[[#This Row],[Age]]&lt;=36,"Adult",Hospital_Patient[[#This Row],[Age]]&lt;=60,"Middle Age",Hospital_Patient[[#This Row],[Age]]&gt;60,"Senior")</f>
        <v>Middle Age</v>
      </c>
      <c r="Q855" t="str" cm="1">
        <f t="array" ref="Q8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55">
        <f>YEAR(Hospital_Patient[[#This Row],[Discharge_Date]])</f>
        <v>2022</v>
      </c>
    </row>
    <row r="856" spans="1:18" hidden="1" x14ac:dyDescent="0.25">
      <c r="A856">
        <v>761</v>
      </c>
      <c r="B856">
        <v>45</v>
      </c>
      <c r="C856" t="s">
        <v>22</v>
      </c>
      <c r="D856" t="s">
        <v>42</v>
      </c>
      <c r="E856" t="s">
        <v>43</v>
      </c>
      <c r="F856" s="5">
        <v>44728</v>
      </c>
      <c r="G856" s="5">
        <v>44785</v>
      </c>
      <c r="H856" t="s">
        <v>29</v>
      </c>
      <c r="I856">
        <v>2022</v>
      </c>
      <c r="J856">
        <v>57</v>
      </c>
      <c r="K856" t="s">
        <v>19</v>
      </c>
      <c r="L856" t="s">
        <v>20</v>
      </c>
      <c r="M856">
        <v>4</v>
      </c>
      <c r="N856" t="s">
        <v>19</v>
      </c>
      <c r="O856">
        <v>3000</v>
      </c>
      <c r="P856" t="str" cm="1">
        <f t="array" ref="P856">_xlfn.IFS(Hospital_Patient[[#This Row],[Age]]&lt;=18,"Young",Hospital_Patient[[#This Row],[Age]]&lt;=36,"Adult",Hospital_Patient[[#This Row],[Age]]&lt;=60,"Middle Age",Hospital_Patient[[#This Row],[Age]]&gt;60,"Senior")</f>
        <v>Middle Age</v>
      </c>
      <c r="Q856" t="str" cm="1">
        <f t="array" ref="Q8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56">
        <f>YEAR(Hospital_Patient[[#This Row],[Discharge_Date]])</f>
        <v>2022</v>
      </c>
    </row>
    <row r="857" spans="1:18" hidden="1" x14ac:dyDescent="0.25">
      <c r="A857">
        <v>958</v>
      </c>
      <c r="B857">
        <v>55</v>
      </c>
      <c r="C857" t="s">
        <v>22</v>
      </c>
      <c r="D857" t="s">
        <v>57</v>
      </c>
      <c r="E857" t="s">
        <v>58</v>
      </c>
      <c r="F857" s="5">
        <v>44717</v>
      </c>
      <c r="G857" s="5">
        <v>44785</v>
      </c>
      <c r="H857" t="s">
        <v>77</v>
      </c>
      <c r="I857">
        <v>2022</v>
      </c>
      <c r="J857">
        <v>68</v>
      </c>
      <c r="K857" t="s">
        <v>19</v>
      </c>
      <c r="L857" t="s">
        <v>20</v>
      </c>
      <c r="M857">
        <v>3</v>
      </c>
      <c r="N857" t="s">
        <v>19</v>
      </c>
      <c r="O857">
        <v>6000</v>
      </c>
      <c r="P857" t="str" cm="1">
        <f t="array" ref="P857">_xlfn.IFS(Hospital_Patient[[#This Row],[Age]]&lt;=18,"Young",Hospital_Patient[[#This Row],[Age]]&lt;=36,"Adult",Hospital_Patient[[#This Row],[Age]]&lt;=60,"Middle Age",Hospital_Patient[[#This Row],[Age]]&gt;60,"Senior")</f>
        <v>Middle Age</v>
      </c>
      <c r="Q857" t="str" cm="1">
        <f t="array" ref="Q8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57">
        <f>YEAR(Hospital_Patient[[#This Row],[Discharge_Date]])</f>
        <v>2022</v>
      </c>
    </row>
    <row r="858" spans="1:18" x14ac:dyDescent="0.25">
      <c r="A858">
        <v>336</v>
      </c>
      <c r="B858">
        <v>52</v>
      </c>
      <c r="C858" t="s">
        <v>15</v>
      </c>
      <c r="D858" t="s">
        <v>49</v>
      </c>
      <c r="E858" t="s">
        <v>50</v>
      </c>
      <c r="F858" s="5">
        <v>44758</v>
      </c>
      <c r="G858" s="5">
        <v>44782</v>
      </c>
      <c r="H858" t="s">
        <v>66</v>
      </c>
      <c r="I858">
        <v>2022</v>
      </c>
      <c r="J858">
        <v>24</v>
      </c>
      <c r="K858" t="s">
        <v>19</v>
      </c>
      <c r="L858" t="s">
        <v>26</v>
      </c>
      <c r="M858">
        <v>4</v>
      </c>
      <c r="N858" t="s">
        <v>21</v>
      </c>
      <c r="O858">
        <v>800</v>
      </c>
      <c r="P858" t="str" cm="1">
        <f t="array" ref="P858">_xlfn.IFS(Hospital_Patient[[#This Row],[Age]]&lt;=18,"Young",Hospital_Patient[[#This Row],[Age]]&lt;=36,"Adult",Hospital_Patient[[#This Row],[Age]]&lt;=60,"Middle Age",Hospital_Patient[[#This Row],[Age]]&gt;60,"Senior")</f>
        <v>Middle Age</v>
      </c>
      <c r="Q858" t="str" cm="1">
        <f t="array" ref="Q8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58">
        <f>YEAR(Hospital_Patient[[#This Row],[Discharge_Date]])</f>
        <v>2022</v>
      </c>
    </row>
    <row r="859" spans="1:18" hidden="1" x14ac:dyDescent="0.25">
      <c r="A859">
        <v>626</v>
      </c>
      <c r="B859">
        <v>68</v>
      </c>
      <c r="C859" t="s">
        <v>22</v>
      </c>
      <c r="D859" t="s">
        <v>36</v>
      </c>
      <c r="E859" t="s">
        <v>37</v>
      </c>
      <c r="F859" s="5">
        <v>44735</v>
      </c>
      <c r="G859" s="5">
        <v>44781</v>
      </c>
      <c r="H859" t="s">
        <v>79</v>
      </c>
      <c r="I859">
        <v>2022</v>
      </c>
      <c r="J859">
        <v>46</v>
      </c>
      <c r="K859" t="s">
        <v>19</v>
      </c>
      <c r="L859" t="s">
        <v>26</v>
      </c>
      <c r="M859">
        <v>4</v>
      </c>
      <c r="N859" t="s">
        <v>19</v>
      </c>
      <c r="O859">
        <v>1000</v>
      </c>
      <c r="P859" t="str" cm="1">
        <f t="array" ref="P859">_xlfn.IFS(Hospital_Patient[[#This Row],[Age]]&lt;=18,"Young",Hospital_Patient[[#This Row],[Age]]&lt;=36,"Adult",Hospital_Patient[[#This Row],[Age]]&lt;=60,"Middle Age",Hospital_Patient[[#This Row],[Age]]&gt;60,"Senior")</f>
        <v>Senior</v>
      </c>
      <c r="Q859" t="str" cm="1">
        <f t="array" ref="Q8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59">
        <f>YEAR(Hospital_Patient[[#This Row],[Discharge_Date]])</f>
        <v>2022</v>
      </c>
    </row>
    <row r="860" spans="1:18" x14ac:dyDescent="0.25">
      <c r="A860">
        <v>534</v>
      </c>
      <c r="B860">
        <v>30</v>
      </c>
      <c r="C860" t="s">
        <v>15</v>
      </c>
      <c r="D860" t="s">
        <v>27</v>
      </c>
      <c r="E860" t="s">
        <v>28</v>
      </c>
      <c r="F860" s="5">
        <v>44742</v>
      </c>
      <c r="G860" s="5">
        <v>44779</v>
      </c>
      <c r="H860" t="s">
        <v>29</v>
      </c>
      <c r="I860">
        <v>2022</v>
      </c>
      <c r="J860">
        <v>37</v>
      </c>
      <c r="K860" t="s">
        <v>19</v>
      </c>
      <c r="L860" t="s">
        <v>20</v>
      </c>
      <c r="M860">
        <v>5</v>
      </c>
      <c r="N860" t="s">
        <v>21</v>
      </c>
      <c r="O860">
        <v>500</v>
      </c>
      <c r="P860" t="str" cm="1">
        <f t="array" ref="P860">_xlfn.IFS(Hospital_Patient[[#This Row],[Age]]&lt;=18,"Young",Hospital_Patient[[#This Row],[Age]]&lt;=36,"Adult",Hospital_Patient[[#This Row],[Age]]&lt;=60,"Middle Age",Hospital_Patient[[#This Row],[Age]]&gt;60,"Senior")</f>
        <v>Adult</v>
      </c>
      <c r="Q860" t="str" cm="1">
        <f t="array" ref="Q8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60">
        <f>YEAR(Hospital_Patient[[#This Row],[Discharge_Date]])</f>
        <v>2022</v>
      </c>
    </row>
    <row r="861" spans="1:18" x14ac:dyDescent="0.25">
      <c r="A861">
        <v>753</v>
      </c>
      <c r="B861">
        <v>65</v>
      </c>
      <c r="C861" t="s">
        <v>15</v>
      </c>
      <c r="D861" t="s">
        <v>59</v>
      </c>
      <c r="E861" t="s">
        <v>60</v>
      </c>
      <c r="F861" s="5">
        <v>44724</v>
      </c>
      <c r="G861" s="5">
        <v>44779</v>
      </c>
      <c r="H861" t="s">
        <v>73</v>
      </c>
      <c r="I861">
        <v>2022</v>
      </c>
      <c r="J861">
        <v>55</v>
      </c>
      <c r="K861" t="s">
        <v>19</v>
      </c>
      <c r="L861" t="s">
        <v>26</v>
      </c>
      <c r="M861">
        <v>4</v>
      </c>
      <c r="N861" t="s">
        <v>21</v>
      </c>
      <c r="O861">
        <v>4000</v>
      </c>
      <c r="P861" t="str" cm="1">
        <f t="array" ref="P861">_xlfn.IFS(Hospital_Patient[[#This Row],[Age]]&lt;=18,"Young",Hospital_Patient[[#This Row],[Age]]&lt;=36,"Adult",Hospital_Patient[[#This Row],[Age]]&lt;=60,"Middle Age",Hospital_Patient[[#This Row],[Age]]&gt;60,"Senior")</f>
        <v>Senior</v>
      </c>
      <c r="Q861" t="str" cm="1">
        <f t="array" ref="Q8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61">
        <f>YEAR(Hospital_Patient[[#This Row],[Discharge_Date]])</f>
        <v>2022</v>
      </c>
    </row>
    <row r="862" spans="1:18" x14ac:dyDescent="0.25">
      <c r="A862">
        <v>802</v>
      </c>
      <c r="B862">
        <v>55</v>
      </c>
      <c r="C862" t="s">
        <v>15</v>
      </c>
      <c r="D862" t="s">
        <v>33</v>
      </c>
      <c r="E862" t="s">
        <v>34</v>
      </c>
      <c r="F862" s="5">
        <v>44715</v>
      </c>
      <c r="G862" s="5">
        <v>44779</v>
      </c>
      <c r="H862" t="s">
        <v>64</v>
      </c>
      <c r="I862">
        <v>2022</v>
      </c>
      <c r="J862">
        <v>64</v>
      </c>
      <c r="K862" t="s">
        <v>19</v>
      </c>
      <c r="L862" t="s">
        <v>20</v>
      </c>
      <c r="M862">
        <v>4</v>
      </c>
      <c r="N862" t="s">
        <v>19</v>
      </c>
      <c r="O862">
        <v>25000</v>
      </c>
      <c r="P862" t="str" cm="1">
        <f t="array" ref="P862">_xlfn.IFS(Hospital_Patient[[#This Row],[Age]]&lt;=18,"Young",Hospital_Patient[[#This Row],[Age]]&lt;=36,"Adult",Hospital_Patient[[#This Row],[Age]]&lt;=60,"Middle Age",Hospital_Patient[[#This Row],[Age]]&gt;60,"Senior")</f>
        <v>Middle Age</v>
      </c>
      <c r="Q862" t="str" cm="1">
        <f t="array" ref="Q8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62">
        <f>YEAR(Hospital_Patient[[#This Row],[Discharge_Date]])</f>
        <v>2022</v>
      </c>
    </row>
    <row r="863" spans="1:18" hidden="1" x14ac:dyDescent="0.25">
      <c r="A863">
        <v>858</v>
      </c>
      <c r="B863">
        <v>65</v>
      </c>
      <c r="C863" t="s">
        <v>22</v>
      </c>
      <c r="D863" t="s">
        <v>23</v>
      </c>
      <c r="E863" t="s">
        <v>24</v>
      </c>
      <c r="F863" s="5">
        <v>44716</v>
      </c>
      <c r="G863" s="5">
        <v>44777</v>
      </c>
      <c r="H863" t="s">
        <v>71</v>
      </c>
      <c r="I863">
        <v>2022</v>
      </c>
      <c r="J863">
        <v>61</v>
      </c>
      <c r="K863" t="s">
        <v>19</v>
      </c>
      <c r="L863" t="s">
        <v>26</v>
      </c>
      <c r="M863">
        <v>3</v>
      </c>
      <c r="N863" t="s">
        <v>21</v>
      </c>
      <c r="O863">
        <v>2000</v>
      </c>
      <c r="P863" t="str" cm="1">
        <f t="array" ref="P863">_xlfn.IFS(Hospital_Patient[[#This Row],[Age]]&lt;=18,"Young",Hospital_Patient[[#This Row],[Age]]&lt;=36,"Adult",Hospital_Patient[[#This Row],[Age]]&lt;=60,"Middle Age",Hospital_Patient[[#This Row],[Age]]&gt;60,"Senior")</f>
        <v>Senior</v>
      </c>
      <c r="Q863" t="str" cm="1">
        <f t="array" ref="Q8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63">
        <f>YEAR(Hospital_Patient[[#This Row],[Discharge_Date]])</f>
        <v>2022</v>
      </c>
    </row>
    <row r="864" spans="1:18" hidden="1" x14ac:dyDescent="0.25">
      <c r="A864">
        <v>8</v>
      </c>
      <c r="B864">
        <v>40</v>
      </c>
      <c r="C864" t="s">
        <v>22</v>
      </c>
      <c r="D864" t="s">
        <v>42</v>
      </c>
      <c r="E864" t="s">
        <v>43</v>
      </c>
      <c r="F864" s="5">
        <v>44770</v>
      </c>
      <c r="G864" s="5">
        <v>44776</v>
      </c>
      <c r="H864" t="s">
        <v>44</v>
      </c>
      <c r="I864">
        <v>2022</v>
      </c>
      <c r="J864">
        <v>6</v>
      </c>
      <c r="K864" t="s">
        <v>19</v>
      </c>
      <c r="L864" t="s">
        <v>20</v>
      </c>
      <c r="M864">
        <v>4</v>
      </c>
      <c r="N864" t="s">
        <v>21</v>
      </c>
      <c r="O864">
        <v>3000</v>
      </c>
      <c r="P864" t="str" cm="1">
        <f t="array" ref="P864">_xlfn.IFS(Hospital_Patient[[#This Row],[Age]]&lt;=18,"Young",Hospital_Patient[[#This Row],[Age]]&lt;=36,"Adult",Hospital_Patient[[#This Row],[Age]]&lt;=60,"Middle Age",Hospital_Patient[[#This Row],[Age]]&gt;60,"Senior")</f>
        <v>Middle Age</v>
      </c>
      <c r="Q864" t="str" cm="1">
        <f t="array" ref="Q8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64">
        <f>YEAR(Hospital_Patient[[#This Row],[Discharge_Date]])</f>
        <v>2022</v>
      </c>
    </row>
    <row r="865" spans="1:18" hidden="1" x14ac:dyDescent="0.25">
      <c r="A865">
        <v>788</v>
      </c>
      <c r="B865">
        <v>72</v>
      </c>
      <c r="C865" t="s">
        <v>22</v>
      </c>
      <c r="D865" t="s">
        <v>36</v>
      </c>
      <c r="E865" t="s">
        <v>37</v>
      </c>
      <c r="F865" s="5">
        <v>44719</v>
      </c>
      <c r="G865" s="5">
        <v>44776</v>
      </c>
      <c r="H865" t="s">
        <v>79</v>
      </c>
      <c r="I865">
        <v>2022</v>
      </c>
      <c r="J865">
        <v>57</v>
      </c>
      <c r="K865" t="s">
        <v>19</v>
      </c>
      <c r="L865" t="s">
        <v>26</v>
      </c>
      <c r="M865">
        <v>4</v>
      </c>
      <c r="N865" t="s">
        <v>21</v>
      </c>
      <c r="O865">
        <v>1000</v>
      </c>
      <c r="P865" t="str" cm="1">
        <f t="array" ref="P865">_xlfn.IFS(Hospital_Patient[[#This Row],[Age]]&lt;=18,"Young",Hospital_Patient[[#This Row],[Age]]&lt;=36,"Adult",Hospital_Patient[[#This Row],[Age]]&lt;=60,"Middle Age",Hospital_Patient[[#This Row],[Age]]&gt;60,"Senior")</f>
        <v>Senior</v>
      </c>
      <c r="Q865" t="str" cm="1">
        <f t="array" ref="Q8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65">
        <f>YEAR(Hospital_Patient[[#This Row],[Discharge_Date]])</f>
        <v>2022</v>
      </c>
    </row>
    <row r="866" spans="1:18" x14ac:dyDescent="0.25">
      <c r="A866">
        <v>848</v>
      </c>
      <c r="B866">
        <v>60</v>
      </c>
      <c r="C866" t="s">
        <v>15</v>
      </c>
      <c r="D866" t="s">
        <v>39</v>
      </c>
      <c r="E866" t="s">
        <v>40</v>
      </c>
      <c r="F866" s="5">
        <v>44713</v>
      </c>
      <c r="G866" s="5">
        <v>44776</v>
      </c>
      <c r="H866" t="s">
        <v>72</v>
      </c>
      <c r="I866">
        <v>2022</v>
      </c>
      <c r="J866">
        <v>63</v>
      </c>
      <c r="K866" t="s">
        <v>21</v>
      </c>
      <c r="L866" t="s">
        <v>20</v>
      </c>
      <c r="M866">
        <v>3</v>
      </c>
      <c r="N866" t="s">
        <v>19</v>
      </c>
      <c r="O866">
        <v>8000</v>
      </c>
      <c r="P866" t="str" cm="1">
        <f t="array" ref="P866">_xlfn.IFS(Hospital_Patient[[#This Row],[Age]]&lt;=18,"Young",Hospital_Patient[[#This Row],[Age]]&lt;=36,"Adult",Hospital_Patient[[#This Row],[Age]]&lt;=60,"Middle Age",Hospital_Patient[[#This Row],[Age]]&gt;60,"Senior")</f>
        <v>Middle Age</v>
      </c>
      <c r="Q866" t="str" cm="1">
        <f t="array" ref="Q8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66">
        <f>YEAR(Hospital_Patient[[#This Row],[Discharge_Date]])</f>
        <v>2022</v>
      </c>
    </row>
    <row r="867" spans="1:18" x14ac:dyDescent="0.25">
      <c r="A867">
        <v>869</v>
      </c>
      <c r="B867">
        <v>32</v>
      </c>
      <c r="C867" t="s">
        <v>15</v>
      </c>
      <c r="D867" t="s">
        <v>54</v>
      </c>
      <c r="E867" t="s">
        <v>55</v>
      </c>
      <c r="F867" s="5">
        <v>44713</v>
      </c>
      <c r="G867" s="5">
        <v>44774</v>
      </c>
      <c r="H867" t="s">
        <v>75</v>
      </c>
      <c r="I867">
        <v>2022</v>
      </c>
      <c r="J867">
        <v>61</v>
      </c>
      <c r="K867" t="s">
        <v>19</v>
      </c>
      <c r="L867" t="s">
        <v>20</v>
      </c>
      <c r="M867">
        <v>4</v>
      </c>
      <c r="N867" t="s">
        <v>19</v>
      </c>
      <c r="O867">
        <v>12000</v>
      </c>
      <c r="P867" t="str" cm="1">
        <f t="array" ref="P867">_xlfn.IFS(Hospital_Patient[[#This Row],[Age]]&lt;=18,"Young",Hospital_Patient[[#This Row],[Age]]&lt;=36,"Adult",Hospital_Patient[[#This Row],[Age]]&lt;=60,"Middle Age",Hospital_Patient[[#This Row],[Age]]&gt;60,"Senior")</f>
        <v>Adult</v>
      </c>
      <c r="Q867" t="str" cm="1">
        <f t="array" ref="Q8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67">
        <f>YEAR(Hospital_Patient[[#This Row],[Discharge_Date]])</f>
        <v>2022</v>
      </c>
    </row>
    <row r="868" spans="1:18" hidden="1" x14ac:dyDescent="0.25">
      <c r="A868">
        <v>318</v>
      </c>
      <c r="B868">
        <v>45</v>
      </c>
      <c r="C868" t="s">
        <v>22</v>
      </c>
      <c r="D868" t="s">
        <v>42</v>
      </c>
      <c r="E868" t="s">
        <v>43</v>
      </c>
      <c r="F868" s="5">
        <v>44746</v>
      </c>
      <c r="G868" s="5">
        <v>44773</v>
      </c>
      <c r="H868" t="s">
        <v>44</v>
      </c>
      <c r="I868">
        <v>2022</v>
      </c>
      <c r="J868">
        <v>27</v>
      </c>
      <c r="K868" t="s">
        <v>19</v>
      </c>
      <c r="L868" t="s">
        <v>20</v>
      </c>
      <c r="M868">
        <v>4</v>
      </c>
      <c r="N868" t="s">
        <v>19</v>
      </c>
      <c r="O868">
        <v>3000</v>
      </c>
      <c r="P868" t="str" cm="1">
        <f t="array" ref="P868">_xlfn.IFS(Hospital_Patient[[#This Row],[Age]]&lt;=18,"Young",Hospital_Patient[[#This Row],[Age]]&lt;=36,"Adult",Hospital_Patient[[#This Row],[Age]]&lt;=60,"Middle Age",Hospital_Patient[[#This Row],[Age]]&gt;60,"Senior")</f>
        <v>Middle Age</v>
      </c>
      <c r="Q868" t="str" cm="1">
        <f t="array" ref="Q8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68">
        <f>YEAR(Hospital_Patient[[#This Row],[Discharge_Date]])</f>
        <v>2022</v>
      </c>
    </row>
    <row r="869" spans="1:18" hidden="1" x14ac:dyDescent="0.25">
      <c r="A869">
        <v>826</v>
      </c>
      <c r="B869">
        <v>50</v>
      </c>
      <c r="C869" t="s">
        <v>22</v>
      </c>
      <c r="D869" t="s">
        <v>57</v>
      </c>
      <c r="E869" t="s">
        <v>58</v>
      </c>
      <c r="F869" s="5">
        <v>44713</v>
      </c>
      <c r="G869" s="5">
        <v>44772</v>
      </c>
      <c r="H869" t="s">
        <v>76</v>
      </c>
      <c r="I869">
        <v>2022</v>
      </c>
      <c r="J869">
        <v>59</v>
      </c>
      <c r="K869" t="s">
        <v>19</v>
      </c>
      <c r="L869" t="s">
        <v>20</v>
      </c>
      <c r="M869">
        <v>3</v>
      </c>
      <c r="N869" t="s">
        <v>21</v>
      </c>
      <c r="O869">
        <v>6000</v>
      </c>
      <c r="P869" t="str" cm="1">
        <f t="array" ref="P869">_xlfn.IFS(Hospital_Patient[[#This Row],[Age]]&lt;=18,"Young",Hospital_Patient[[#This Row],[Age]]&lt;=36,"Adult",Hospital_Patient[[#This Row],[Age]]&lt;=60,"Middle Age",Hospital_Patient[[#This Row],[Age]]&gt;60,"Senior")</f>
        <v>Middle Age</v>
      </c>
      <c r="Q869" t="str" cm="1">
        <f t="array" ref="Q8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69">
        <f>YEAR(Hospital_Patient[[#This Row],[Discharge_Date]])</f>
        <v>2022</v>
      </c>
    </row>
    <row r="870" spans="1:18" x14ac:dyDescent="0.25">
      <c r="A870">
        <v>719</v>
      </c>
      <c r="B870">
        <v>52</v>
      </c>
      <c r="C870" t="s">
        <v>15</v>
      </c>
      <c r="D870" t="s">
        <v>49</v>
      </c>
      <c r="E870" t="s">
        <v>50</v>
      </c>
      <c r="F870" s="5">
        <v>44721</v>
      </c>
      <c r="G870" s="5">
        <v>44771</v>
      </c>
      <c r="H870" t="s">
        <v>66</v>
      </c>
      <c r="I870">
        <v>2022</v>
      </c>
      <c r="J870">
        <v>50</v>
      </c>
      <c r="K870" t="s">
        <v>19</v>
      </c>
      <c r="L870" t="s">
        <v>26</v>
      </c>
      <c r="M870">
        <v>4</v>
      </c>
      <c r="N870" t="s">
        <v>19</v>
      </c>
      <c r="O870">
        <v>800</v>
      </c>
      <c r="P870" t="str" cm="1">
        <f t="array" ref="P870">_xlfn.IFS(Hospital_Patient[[#This Row],[Age]]&lt;=18,"Young",Hospital_Patient[[#This Row],[Age]]&lt;=36,"Adult",Hospital_Patient[[#This Row],[Age]]&lt;=60,"Middle Age",Hospital_Patient[[#This Row],[Age]]&gt;60,"Senior")</f>
        <v>Middle Age</v>
      </c>
      <c r="Q870" t="str" cm="1">
        <f t="array" ref="Q8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70">
        <f>YEAR(Hospital_Patient[[#This Row],[Discharge_Date]])</f>
        <v>2022</v>
      </c>
    </row>
    <row r="871" spans="1:18" x14ac:dyDescent="0.25">
      <c r="A871">
        <v>946</v>
      </c>
      <c r="B871">
        <v>48</v>
      </c>
      <c r="C871" t="s">
        <v>15</v>
      </c>
      <c r="D871" t="s">
        <v>16</v>
      </c>
      <c r="E871" t="s">
        <v>17</v>
      </c>
      <c r="F871" s="5">
        <v>44701</v>
      </c>
      <c r="G871" s="5">
        <v>44770</v>
      </c>
      <c r="H871" t="s">
        <v>18</v>
      </c>
      <c r="I871">
        <v>2022</v>
      </c>
      <c r="J871">
        <v>69</v>
      </c>
      <c r="K871" t="s">
        <v>21</v>
      </c>
      <c r="L871" t="s">
        <v>20</v>
      </c>
      <c r="M871">
        <v>4</v>
      </c>
      <c r="N871" t="s">
        <v>21</v>
      </c>
      <c r="O871">
        <v>15000</v>
      </c>
      <c r="P871" t="str" cm="1">
        <f t="array" ref="P871">_xlfn.IFS(Hospital_Patient[[#This Row],[Age]]&lt;=18,"Young",Hospital_Patient[[#This Row],[Age]]&lt;=36,"Adult",Hospital_Patient[[#This Row],[Age]]&lt;=60,"Middle Age",Hospital_Patient[[#This Row],[Age]]&gt;60,"Senior")</f>
        <v>Middle Age</v>
      </c>
      <c r="Q871" t="str" cm="1">
        <f t="array" ref="Q8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71">
        <f>YEAR(Hospital_Patient[[#This Row],[Discharge_Date]])</f>
        <v>2022</v>
      </c>
    </row>
    <row r="872" spans="1:18" x14ac:dyDescent="0.25">
      <c r="A872">
        <v>225</v>
      </c>
      <c r="B872">
        <v>35</v>
      </c>
      <c r="C872" t="s">
        <v>15</v>
      </c>
      <c r="D872" t="s">
        <v>27</v>
      </c>
      <c r="E872" t="s">
        <v>28</v>
      </c>
      <c r="F872" s="5">
        <v>44752</v>
      </c>
      <c r="G872" s="5">
        <v>44768</v>
      </c>
      <c r="H872" t="s">
        <v>29</v>
      </c>
      <c r="I872">
        <v>2022</v>
      </c>
      <c r="J872">
        <v>16</v>
      </c>
      <c r="K872" t="s">
        <v>21</v>
      </c>
      <c r="L872" t="s">
        <v>20</v>
      </c>
      <c r="M872">
        <v>5</v>
      </c>
      <c r="N872" t="s">
        <v>21</v>
      </c>
      <c r="O872">
        <v>500</v>
      </c>
      <c r="P872" t="str" cm="1">
        <f t="array" ref="P872">_xlfn.IFS(Hospital_Patient[[#This Row],[Age]]&lt;=18,"Young",Hospital_Patient[[#This Row],[Age]]&lt;=36,"Adult",Hospital_Patient[[#This Row],[Age]]&lt;=60,"Middle Age",Hospital_Patient[[#This Row],[Age]]&gt;60,"Senior")</f>
        <v>Adult</v>
      </c>
      <c r="Q872" t="str" cm="1">
        <f t="array" ref="Q8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72">
        <f>YEAR(Hospital_Patient[[#This Row],[Discharge_Date]])</f>
        <v>2022</v>
      </c>
    </row>
    <row r="873" spans="1:18" x14ac:dyDescent="0.25">
      <c r="A873">
        <v>828</v>
      </c>
      <c r="B873">
        <v>48</v>
      </c>
      <c r="C873" t="s">
        <v>15</v>
      </c>
      <c r="D873" t="s">
        <v>16</v>
      </c>
      <c r="E873" t="s">
        <v>17</v>
      </c>
      <c r="F873" s="5">
        <v>44700</v>
      </c>
      <c r="G873" s="5">
        <v>44761</v>
      </c>
      <c r="H873" t="s">
        <v>69</v>
      </c>
      <c r="I873">
        <v>2022</v>
      </c>
      <c r="J873">
        <v>61</v>
      </c>
      <c r="K873" t="s">
        <v>21</v>
      </c>
      <c r="L873" t="s">
        <v>20</v>
      </c>
      <c r="M873">
        <v>4</v>
      </c>
      <c r="N873" t="s">
        <v>19</v>
      </c>
      <c r="O873">
        <v>15000</v>
      </c>
      <c r="P873" t="str" cm="1">
        <f t="array" ref="P873">_xlfn.IFS(Hospital_Patient[[#This Row],[Age]]&lt;=18,"Young",Hospital_Patient[[#This Row],[Age]]&lt;=36,"Adult",Hospital_Patient[[#This Row],[Age]]&lt;=60,"Middle Age",Hospital_Patient[[#This Row],[Age]]&gt;60,"Senior")</f>
        <v>Middle Age</v>
      </c>
      <c r="Q873" t="str" cm="1">
        <f t="array" ref="Q8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73">
        <f>YEAR(Hospital_Patient[[#This Row],[Discharge_Date]])</f>
        <v>2022</v>
      </c>
    </row>
    <row r="874" spans="1:18" x14ac:dyDescent="0.25">
      <c r="A874">
        <v>251</v>
      </c>
      <c r="B874">
        <v>65</v>
      </c>
      <c r="C874" t="s">
        <v>15</v>
      </c>
      <c r="D874" t="s">
        <v>59</v>
      </c>
      <c r="E874" t="s">
        <v>60</v>
      </c>
      <c r="F874" s="5">
        <v>44739</v>
      </c>
      <c r="G874" s="5">
        <v>44760</v>
      </c>
      <c r="H874" t="s">
        <v>73</v>
      </c>
      <c r="I874">
        <v>2022</v>
      </c>
      <c r="J874">
        <v>21</v>
      </c>
      <c r="K874" t="s">
        <v>19</v>
      </c>
      <c r="L874" t="s">
        <v>26</v>
      </c>
      <c r="M874">
        <v>4</v>
      </c>
      <c r="N874" t="s">
        <v>19</v>
      </c>
      <c r="O874">
        <v>4000</v>
      </c>
      <c r="P874" t="str" cm="1">
        <f t="array" ref="P874">_xlfn.IFS(Hospital_Patient[[#This Row],[Age]]&lt;=18,"Young",Hospital_Patient[[#This Row],[Age]]&lt;=36,"Adult",Hospital_Patient[[#This Row],[Age]]&lt;=60,"Middle Age",Hospital_Patient[[#This Row],[Age]]&gt;60,"Senior")</f>
        <v>Senior</v>
      </c>
      <c r="Q874" t="str" cm="1">
        <f t="array" ref="Q8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74">
        <f>YEAR(Hospital_Patient[[#This Row],[Discharge_Date]])</f>
        <v>2022</v>
      </c>
    </row>
    <row r="875" spans="1:18" x14ac:dyDescent="0.25">
      <c r="A875">
        <v>178</v>
      </c>
      <c r="B875">
        <v>60</v>
      </c>
      <c r="C875" t="s">
        <v>15</v>
      </c>
      <c r="D875" t="s">
        <v>59</v>
      </c>
      <c r="E875" t="s">
        <v>60</v>
      </c>
      <c r="F875" s="5">
        <v>44743</v>
      </c>
      <c r="G875" s="5">
        <v>44759</v>
      </c>
      <c r="H875" t="s">
        <v>75</v>
      </c>
      <c r="I875">
        <v>2022</v>
      </c>
      <c r="J875">
        <v>16</v>
      </c>
      <c r="K875" t="s">
        <v>19</v>
      </c>
      <c r="L875" t="s">
        <v>26</v>
      </c>
      <c r="M875">
        <v>4</v>
      </c>
      <c r="N875" t="s">
        <v>19</v>
      </c>
      <c r="O875">
        <v>4000</v>
      </c>
      <c r="P875" t="str" cm="1">
        <f t="array" ref="P875">_xlfn.IFS(Hospital_Patient[[#This Row],[Age]]&lt;=18,"Young",Hospital_Patient[[#This Row],[Age]]&lt;=36,"Adult",Hospital_Patient[[#This Row],[Age]]&lt;=60,"Middle Age",Hospital_Patient[[#This Row],[Age]]&gt;60,"Senior")</f>
        <v>Middle Age</v>
      </c>
      <c r="Q875" t="str" cm="1">
        <f t="array" ref="Q8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75">
        <f>YEAR(Hospital_Patient[[#This Row],[Discharge_Date]])</f>
        <v>2022</v>
      </c>
    </row>
    <row r="876" spans="1:18" x14ac:dyDescent="0.25">
      <c r="A876">
        <v>948</v>
      </c>
      <c r="B876">
        <v>30</v>
      </c>
      <c r="C876" t="s">
        <v>15</v>
      </c>
      <c r="D876" t="s">
        <v>27</v>
      </c>
      <c r="E876" t="s">
        <v>28</v>
      </c>
      <c r="F876" s="5">
        <v>44694</v>
      </c>
      <c r="G876" s="5">
        <v>44759</v>
      </c>
      <c r="H876" t="s">
        <v>29</v>
      </c>
      <c r="I876">
        <v>2022</v>
      </c>
      <c r="J876">
        <v>65</v>
      </c>
      <c r="K876" t="s">
        <v>19</v>
      </c>
      <c r="L876" t="s">
        <v>20</v>
      </c>
      <c r="M876">
        <v>5</v>
      </c>
      <c r="N876" t="s">
        <v>21</v>
      </c>
      <c r="O876">
        <v>500</v>
      </c>
      <c r="P876" t="str" cm="1">
        <f t="array" ref="P876">_xlfn.IFS(Hospital_Patient[[#This Row],[Age]]&lt;=18,"Young",Hospital_Patient[[#This Row],[Age]]&lt;=36,"Adult",Hospital_Patient[[#This Row],[Age]]&lt;=60,"Middle Age",Hospital_Patient[[#This Row],[Age]]&gt;60,"Senior")</f>
        <v>Adult</v>
      </c>
      <c r="Q876" t="str" cm="1">
        <f t="array" ref="Q8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76">
        <f>YEAR(Hospital_Patient[[#This Row],[Discharge_Date]])</f>
        <v>2022</v>
      </c>
    </row>
    <row r="877" spans="1:18" hidden="1" x14ac:dyDescent="0.25">
      <c r="A877">
        <v>209</v>
      </c>
      <c r="B877">
        <v>65</v>
      </c>
      <c r="C877" t="s">
        <v>22</v>
      </c>
      <c r="D877" t="s">
        <v>23</v>
      </c>
      <c r="E877" t="s">
        <v>24</v>
      </c>
      <c r="F877" s="5">
        <v>44741</v>
      </c>
      <c r="G877" s="5">
        <v>44758</v>
      </c>
      <c r="H877" t="s">
        <v>71</v>
      </c>
      <c r="I877">
        <v>2022</v>
      </c>
      <c r="J877">
        <v>17</v>
      </c>
      <c r="K877" t="s">
        <v>19</v>
      </c>
      <c r="L877" t="s">
        <v>26</v>
      </c>
      <c r="M877">
        <v>3</v>
      </c>
      <c r="N877" t="s">
        <v>19</v>
      </c>
      <c r="O877">
        <v>2000</v>
      </c>
      <c r="P877" t="str" cm="1">
        <f t="array" ref="P877">_xlfn.IFS(Hospital_Patient[[#This Row],[Age]]&lt;=18,"Young",Hospital_Patient[[#This Row],[Age]]&lt;=36,"Adult",Hospital_Patient[[#This Row],[Age]]&lt;=60,"Middle Age",Hospital_Patient[[#This Row],[Age]]&gt;60,"Senior")</f>
        <v>Senior</v>
      </c>
      <c r="Q877" t="str" cm="1">
        <f t="array" ref="Q8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77">
        <f>YEAR(Hospital_Patient[[#This Row],[Discharge_Date]])</f>
        <v>2022</v>
      </c>
    </row>
    <row r="878" spans="1:18" hidden="1" x14ac:dyDescent="0.25">
      <c r="A878">
        <v>951</v>
      </c>
      <c r="B878">
        <v>68</v>
      </c>
      <c r="C878" t="s">
        <v>22</v>
      </c>
      <c r="D878" t="s">
        <v>36</v>
      </c>
      <c r="E878" t="s">
        <v>37</v>
      </c>
      <c r="F878" s="5">
        <v>44686</v>
      </c>
      <c r="G878" s="5">
        <v>44754</v>
      </c>
      <c r="H878" t="s">
        <v>38</v>
      </c>
      <c r="I878">
        <v>2022</v>
      </c>
      <c r="J878">
        <v>68</v>
      </c>
      <c r="K878" t="s">
        <v>19</v>
      </c>
      <c r="L878" t="s">
        <v>26</v>
      </c>
      <c r="M878">
        <v>4</v>
      </c>
      <c r="N878" t="s">
        <v>21</v>
      </c>
      <c r="O878">
        <v>1000</v>
      </c>
      <c r="P878" t="str" cm="1">
        <f t="array" ref="P878">_xlfn.IFS(Hospital_Patient[[#This Row],[Age]]&lt;=18,"Young",Hospital_Patient[[#This Row],[Age]]&lt;=36,"Adult",Hospital_Patient[[#This Row],[Age]]&lt;=60,"Middle Age",Hospital_Patient[[#This Row],[Age]]&gt;60,"Senior")</f>
        <v>Senior</v>
      </c>
      <c r="Q878" t="str" cm="1">
        <f t="array" ref="Q8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78">
        <f>YEAR(Hospital_Patient[[#This Row],[Discharge_Date]])</f>
        <v>2022</v>
      </c>
    </row>
    <row r="879" spans="1:18" x14ac:dyDescent="0.25">
      <c r="A879">
        <v>247</v>
      </c>
      <c r="B879">
        <v>52</v>
      </c>
      <c r="C879" t="s">
        <v>15</v>
      </c>
      <c r="D879" t="s">
        <v>49</v>
      </c>
      <c r="E879" t="s">
        <v>50</v>
      </c>
      <c r="F879" s="5">
        <v>44735</v>
      </c>
      <c r="G879" s="5">
        <v>44753</v>
      </c>
      <c r="H879" t="s">
        <v>51</v>
      </c>
      <c r="I879">
        <v>2022</v>
      </c>
      <c r="J879">
        <v>18</v>
      </c>
      <c r="K879" t="s">
        <v>19</v>
      </c>
      <c r="L879" t="s">
        <v>26</v>
      </c>
      <c r="M879">
        <v>4</v>
      </c>
      <c r="N879" t="s">
        <v>19</v>
      </c>
      <c r="O879">
        <v>800</v>
      </c>
      <c r="P879" t="str" cm="1">
        <f t="array" ref="P879">_xlfn.IFS(Hospital_Patient[[#This Row],[Age]]&lt;=18,"Young",Hospital_Patient[[#This Row],[Age]]&lt;=36,"Adult",Hospital_Patient[[#This Row],[Age]]&lt;=60,"Middle Age",Hospital_Patient[[#This Row],[Age]]&gt;60,"Senior")</f>
        <v>Middle Age</v>
      </c>
      <c r="Q879" t="str" cm="1">
        <f t="array" ref="Q8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79">
        <f>YEAR(Hospital_Patient[[#This Row],[Discharge_Date]])</f>
        <v>2022</v>
      </c>
    </row>
    <row r="880" spans="1:18" x14ac:dyDescent="0.25">
      <c r="A880">
        <v>319</v>
      </c>
      <c r="B880">
        <v>75</v>
      </c>
      <c r="C880" t="s">
        <v>15</v>
      </c>
      <c r="D880" t="s">
        <v>45</v>
      </c>
      <c r="E880" t="s">
        <v>46</v>
      </c>
      <c r="F880" s="5">
        <v>44724</v>
      </c>
      <c r="G880" s="5">
        <v>44753</v>
      </c>
      <c r="H880" t="s">
        <v>69</v>
      </c>
      <c r="I880">
        <v>2022</v>
      </c>
      <c r="J880">
        <v>29</v>
      </c>
      <c r="K880" t="s">
        <v>21</v>
      </c>
      <c r="L880" t="s">
        <v>26</v>
      </c>
      <c r="M880">
        <v>2</v>
      </c>
      <c r="N880" t="s">
        <v>21</v>
      </c>
      <c r="O880">
        <v>18000</v>
      </c>
      <c r="P880" t="str" cm="1">
        <f t="array" ref="P880">_xlfn.IFS(Hospital_Patient[[#This Row],[Age]]&lt;=18,"Young",Hospital_Patient[[#This Row],[Age]]&lt;=36,"Adult",Hospital_Patient[[#This Row],[Age]]&lt;=60,"Middle Age",Hospital_Patient[[#This Row],[Age]]&gt;60,"Senior")</f>
        <v>Senior</v>
      </c>
      <c r="Q880" t="str" cm="1">
        <f t="array" ref="Q8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80">
        <f>YEAR(Hospital_Patient[[#This Row],[Discharge_Date]])</f>
        <v>2022</v>
      </c>
    </row>
    <row r="881" spans="1:18" hidden="1" x14ac:dyDescent="0.25">
      <c r="A881">
        <v>973</v>
      </c>
      <c r="B881">
        <v>50</v>
      </c>
      <c r="C881" t="s">
        <v>22</v>
      </c>
      <c r="D881" t="s">
        <v>57</v>
      </c>
      <c r="E881" t="s">
        <v>58</v>
      </c>
      <c r="F881" s="5">
        <v>44682</v>
      </c>
      <c r="G881" s="5">
        <v>44751</v>
      </c>
      <c r="H881" t="s">
        <v>76</v>
      </c>
      <c r="I881">
        <v>2022</v>
      </c>
      <c r="J881">
        <v>69</v>
      </c>
      <c r="K881" t="s">
        <v>19</v>
      </c>
      <c r="L881" t="s">
        <v>20</v>
      </c>
      <c r="M881">
        <v>3</v>
      </c>
      <c r="N881" t="s">
        <v>19</v>
      </c>
      <c r="O881">
        <v>6000</v>
      </c>
      <c r="P881" t="str" cm="1">
        <f t="array" ref="P881">_xlfn.IFS(Hospital_Patient[[#This Row],[Age]]&lt;=18,"Young",Hospital_Patient[[#This Row],[Age]]&lt;=36,"Adult",Hospital_Patient[[#This Row],[Age]]&lt;=60,"Middle Age",Hospital_Patient[[#This Row],[Age]]&gt;60,"Senior")</f>
        <v>Middle Age</v>
      </c>
      <c r="Q881" t="str" cm="1">
        <f t="array" ref="Q8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81">
        <f>YEAR(Hospital_Patient[[#This Row],[Discharge_Date]])</f>
        <v>2022</v>
      </c>
    </row>
    <row r="882" spans="1:18" hidden="1" x14ac:dyDescent="0.25">
      <c r="A882">
        <v>17</v>
      </c>
      <c r="B882">
        <v>62</v>
      </c>
      <c r="C882" t="s">
        <v>22</v>
      </c>
      <c r="D882" t="s">
        <v>23</v>
      </c>
      <c r="E882" t="s">
        <v>24</v>
      </c>
      <c r="F882" s="5">
        <v>44746</v>
      </c>
      <c r="G882" s="5">
        <v>44750</v>
      </c>
      <c r="H882" t="s">
        <v>25</v>
      </c>
      <c r="I882">
        <v>2022</v>
      </c>
      <c r="J882">
        <v>4</v>
      </c>
      <c r="K882" t="s">
        <v>19</v>
      </c>
      <c r="L882" t="s">
        <v>26</v>
      </c>
      <c r="M882">
        <v>4</v>
      </c>
      <c r="N882" t="s">
        <v>19</v>
      </c>
      <c r="O882">
        <v>2000</v>
      </c>
      <c r="P882" t="str" cm="1">
        <f t="array" ref="P882">_xlfn.IFS(Hospital_Patient[[#This Row],[Age]]&lt;=18,"Young",Hospital_Patient[[#This Row],[Age]]&lt;=36,"Adult",Hospital_Patient[[#This Row],[Age]]&lt;=60,"Middle Age",Hospital_Patient[[#This Row],[Age]]&gt;60,"Senior")</f>
        <v>Senior</v>
      </c>
      <c r="Q882" t="str" cm="1">
        <f t="array" ref="Q8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882">
        <f>YEAR(Hospital_Patient[[#This Row],[Discharge_Date]])</f>
        <v>2022</v>
      </c>
    </row>
    <row r="883" spans="1:18" hidden="1" x14ac:dyDescent="0.25">
      <c r="A883">
        <v>893</v>
      </c>
      <c r="B883">
        <v>40</v>
      </c>
      <c r="C883" t="s">
        <v>22</v>
      </c>
      <c r="D883" t="s">
        <v>42</v>
      </c>
      <c r="E883" t="s">
        <v>43</v>
      </c>
      <c r="F883" s="5">
        <v>44684</v>
      </c>
      <c r="G883" s="5">
        <v>44750</v>
      </c>
      <c r="H883" t="s">
        <v>71</v>
      </c>
      <c r="I883">
        <v>2022</v>
      </c>
      <c r="J883">
        <v>66</v>
      </c>
      <c r="K883" t="s">
        <v>19</v>
      </c>
      <c r="L883" t="s">
        <v>20</v>
      </c>
      <c r="M883">
        <v>4</v>
      </c>
      <c r="N883" t="s">
        <v>19</v>
      </c>
      <c r="O883">
        <v>3000</v>
      </c>
      <c r="P883" t="str" cm="1">
        <f t="array" ref="P883">_xlfn.IFS(Hospital_Patient[[#This Row],[Age]]&lt;=18,"Young",Hospital_Patient[[#This Row],[Age]]&lt;=36,"Adult",Hospital_Patient[[#This Row],[Age]]&lt;=60,"Middle Age",Hospital_Patient[[#This Row],[Age]]&gt;60,"Senior")</f>
        <v>Middle Age</v>
      </c>
      <c r="Q883" t="str" cm="1">
        <f t="array" ref="Q8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83">
        <f>YEAR(Hospital_Patient[[#This Row],[Discharge_Date]])</f>
        <v>2022</v>
      </c>
    </row>
    <row r="884" spans="1:18" hidden="1" x14ac:dyDescent="0.25">
      <c r="A884">
        <v>560</v>
      </c>
      <c r="B884">
        <v>50</v>
      </c>
      <c r="C884" t="s">
        <v>22</v>
      </c>
      <c r="D884" t="s">
        <v>57</v>
      </c>
      <c r="E884" t="s">
        <v>58</v>
      </c>
      <c r="F884" s="5">
        <v>44705</v>
      </c>
      <c r="G884" s="5">
        <v>44746</v>
      </c>
      <c r="H884" t="s">
        <v>77</v>
      </c>
      <c r="I884">
        <v>2022</v>
      </c>
      <c r="J884">
        <v>41</v>
      </c>
      <c r="K884" t="s">
        <v>19</v>
      </c>
      <c r="L884" t="s">
        <v>20</v>
      </c>
      <c r="M884">
        <v>3</v>
      </c>
      <c r="N884" t="s">
        <v>21</v>
      </c>
      <c r="O884">
        <v>6000</v>
      </c>
      <c r="P884" t="str" cm="1">
        <f t="array" ref="P884">_xlfn.IFS(Hospital_Patient[[#This Row],[Age]]&lt;=18,"Young",Hospital_Patient[[#This Row],[Age]]&lt;=36,"Adult",Hospital_Patient[[#This Row],[Age]]&lt;=60,"Middle Age",Hospital_Patient[[#This Row],[Age]]&gt;60,"Senior")</f>
        <v>Middle Age</v>
      </c>
      <c r="Q884" t="str" cm="1">
        <f t="array" ref="Q8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84">
        <f>YEAR(Hospital_Patient[[#This Row],[Discharge_Date]])</f>
        <v>2022</v>
      </c>
    </row>
    <row r="885" spans="1:18" x14ac:dyDescent="0.25">
      <c r="A885">
        <v>579</v>
      </c>
      <c r="B885">
        <v>35</v>
      </c>
      <c r="C885" t="s">
        <v>15</v>
      </c>
      <c r="D885" t="s">
        <v>27</v>
      </c>
      <c r="E885" t="s">
        <v>28</v>
      </c>
      <c r="F885" s="5">
        <v>44703</v>
      </c>
      <c r="G885" s="5">
        <v>44743</v>
      </c>
      <c r="H885" t="s">
        <v>70</v>
      </c>
      <c r="I885">
        <v>2022</v>
      </c>
      <c r="J885">
        <v>40</v>
      </c>
      <c r="K885" t="s">
        <v>21</v>
      </c>
      <c r="L885" t="s">
        <v>20</v>
      </c>
      <c r="M885">
        <v>5</v>
      </c>
      <c r="N885" t="s">
        <v>21</v>
      </c>
      <c r="O885">
        <v>500</v>
      </c>
      <c r="P885" t="str" cm="1">
        <f t="array" ref="P885">_xlfn.IFS(Hospital_Patient[[#This Row],[Age]]&lt;=18,"Young",Hospital_Patient[[#This Row],[Age]]&lt;=36,"Adult",Hospital_Patient[[#This Row],[Age]]&lt;=60,"Middle Age",Hospital_Patient[[#This Row],[Age]]&gt;60,"Senior")</f>
        <v>Adult</v>
      </c>
      <c r="Q885" t="str" cm="1">
        <f t="array" ref="Q8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85">
        <f>YEAR(Hospital_Patient[[#This Row],[Discharge_Date]])</f>
        <v>2022</v>
      </c>
    </row>
    <row r="886" spans="1:18" x14ac:dyDescent="0.25">
      <c r="A886">
        <v>172</v>
      </c>
      <c r="B886">
        <v>75</v>
      </c>
      <c r="C886" t="s">
        <v>15</v>
      </c>
      <c r="D886" t="s">
        <v>45</v>
      </c>
      <c r="E886" t="s">
        <v>46</v>
      </c>
      <c r="F886" s="5">
        <v>44723</v>
      </c>
      <c r="G886" s="5">
        <v>44742</v>
      </c>
      <c r="H886" t="s">
        <v>69</v>
      </c>
      <c r="I886">
        <v>2022</v>
      </c>
      <c r="J886">
        <v>19</v>
      </c>
      <c r="K886" t="s">
        <v>21</v>
      </c>
      <c r="L886" t="s">
        <v>26</v>
      </c>
      <c r="M886">
        <v>2</v>
      </c>
      <c r="N886" t="s">
        <v>19</v>
      </c>
      <c r="O886">
        <v>18000</v>
      </c>
      <c r="P886" t="str" cm="1">
        <f t="array" ref="P886">_xlfn.IFS(Hospital_Patient[[#This Row],[Age]]&lt;=18,"Young",Hospital_Patient[[#This Row],[Age]]&lt;=36,"Adult",Hospital_Patient[[#This Row],[Age]]&lt;=60,"Middle Age",Hospital_Patient[[#This Row],[Age]]&gt;60,"Senior")</f>
        <v>Senior</v>
      </c>
      <c r="Q886" t="str" cm="1">
        <f t="array" ref="Q88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86">
        <f>YEAR(Hospital_Patient[[#This Row],[Discharge_Date]])</f>
        <v>2022</v>
      </c>
    </row>
    <row r="887" spans="1:18" hidden="1" x14ac:dyDescent="0.25">
      <c r="A887">
        <v>895</v>
      </c>
      <c r="B887">
        <v>25</v>
      </c>
      <c r="C887" t="s">
        <v>22</v>
      </c>
      <c r="D887" t="s">
        <v>47</v>
      </c>
      <c r="E887" t="s">
        <v>48</v>
      </c>
      <c r="F887" s="5">
        <v>44680</v>
      </c>
      <c r="G887" s="5">
        <v>44741</v>
      </c>
      <c r="H887" t="s">
        <v>41</v>
      </c>
      <c r="I887">
        <v>2022</v>
      </c>
      <c r="J887">
        <v>61</v>
      </c>
      <c r="K887" t="s">
        <v>19</v>
      </c>
      <c r="L887" t="s">
        <v>20</v>
      </c>
      <c r="M887">
        <v>5</v>
      </c>
      <c r="N887" t="s">
        <v>21</v>
      </c>
      <c r="O887">
        <v>100</v>
      </c>
      <c r="P887" t="str" cm="1">
        <f t="array" ref="P887">_xlfn.IFS(Hospital_Patient[[#This Row],[Age]]&lt;=18,"Young",Hospital_Patient[[#This Row],[Age]]&lt;=36,"Adult",Hospital_Patient[[#This Row],[Age]]&lt;=60,"Middle Age",Hospital_Patient[[#This Row],[Age]]&gt;60,"Senior")</f>
        <v>Adult</v>
      </c>
      <c r="Q887" t="str" cm="1">
        <f t="array" ref="Q88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87">
        <f>YEAR(Hospital_Patient[[#This Row],[Discharge_Date]])</f>
        <v>2022</v>
      </c>
    </row>
    <row r="888" spans="1:18" hidden="1" x14ac:dyDescent="0.25">
      <c r="A888">
        <v>360</v>
      </c>
      <c r="B888">
        <v>68</v>
      </c>
      <c r="C888" t="s">
        <v>22</v>
      </c>
      <c r="D888" t="s">
        <v>36</v>
      </c>
      <c r="E888" t="s">
        <v>37</v>
      </c>
      <c r="F888" s="5">
        <v>44714</v>
      </c>
      <c r="G888" s="5">
        <v>44740</v>
      </c>
      <c r="H888" t="s">
        <v>25</v>
      </c>
      <c r="I888">
        <v>2022</v>
      </c>
      <c r="J888">
        <v>26</v>
      </c>
      <c r="K888" t="s">
        <v>19</v>
      </c>
      <c r="L888" t="s">
        <v>26</v>
      </c>
      <c r="M888">
        <v>4</v>
      </c>
      <c r="N888" t="s">
        <v>21</v>
      </c>
      <c r="O888">
        <v>1000</v>
      </c>
      <c r="P888" t="str" cm="1">
        <f t="array" ref="P888">_xlfn.IFS(Hospital_Patient[[#This Row],[Age]]&lt;=18,"Young",Hospital_Patient[[#This Row],[Age]]&lt;=36,"Adult",Hospital_Patient[[#This Row],[Age]]&lt;=60,"Middle Age",Hospital_Patient[[#This Row],[Age]]&gt;60,"Senior")</f>
        <v>Senior</v>
      </c>
      <c r="Q888" t="str" cm="1">
        <f t="array" ref="Q88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88">
        <f>YEAR(Hospital_Patient[[#This Row],[Discharge_Date]])</f>
        <v>2022</v>
      </c>
    </row>
    <row r="889" spans="1:18" x14ac:dyDescent="0.25">
      <c r="A889">
        <v>738</v>
      </c>
      <c r="B889">
        <v>60</v>
      </c>
      <c r="C889" t="s">
        <v>15</v>
      </c>
      <c r="D889" t="s">
        <v>59</v>
      </c>
      <c r="E889" t="s">
        <v>60</v>
      </c>
      <c r="F889" s="5">
        <v>44686</v>
      </c>
      <c r="G889" s="5">
        <v>44740</v>
      </c>
      <c r="H889" t="s">
        <v>75</v>
      </c>
      <c r="I889">
        <v>2022</v>
      </c>
      <c r="J889">
        <v>54</v>
      </c>
      <c r="K889" t="s">
        <v>19</v>
      </c>
      <c r="L889" t="s">
        <v>26</v>
      </c>
      <c r="M889">
        <v>4</v>
      </c>
      <c r="N889" t="s">
        <v>19</v>
      </c>
      <c r="O889">
        <v>4000</v>
      </c>
      <c r="P889" t="str" cm="1">
        <f t="array" ref="P889">_xlfn.IFS(Hospital_Patient[[#This Row],[Age]]&lt;=18,"Young",Hospital_Patient[[#This Row],[Age]]&lt;=36,"Adult",Hospital_Patient[[#This Row],[Age]]&lt;=60,"Middle Age",Hospital_Patient[[#This Row],[Age]]&gt;60,"Senior")</f>
        <v>Middle Age</v>
      </c>
      <c r="Q889" t="str" cm="1">
        <f t="array" ref="Q88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89">
        <f>YEAR(Hospital_Patient[[#This Row],[Discharge_Date]])</f>
        <v>2022</v>
      </c>
    </row>
    <row r="890" spans="1:18" hidden="1" x14ac:dyDescent="0.25">
      <c r="A890">
        <v>818</v>
      </c>
      <c r="B890">
        <v>72</v>
      </c>
      <c r="C890" t="s">
        <v>22</v>
      </c>
      <c r="D890" t="s">
        <v>36</v>
      </c>
      <c r="E890" t="s">
        <v>37</v>
      </c>
      <c r="F890" s="5">
        <v>44680</v>
      </c>
      <c r="G890" s="5">
        <v>44739</v>
      </c>
      <c r="H890" t="s">
        <v>38</v>
      </c>
      <c r="I890">
        <v>2022</v>
      </c>
      <c r="J890">
        <v>59</v>
      </c>
      <c r="K890" t="s">
        <v>19</v>
      </c>
      <c r="L890" t="s">
        <v>26</v>
      </c>
      <c r="M890">
        <v>4</v>
      </c>
      <c r="N890" t="s">
        <v>19</v>
      </c>
      <c r="O890">
        <v>1000</v>
      </c>
      <c r="P890" t="str" cm="1">
        <f t="array" ref="P890">_xlfn.IFS(Hospital_Patient[[#This Row],[Age]]&lt;=18,"Young",Hospital_Patient[[#This Row],[Age]]&lt;=36,"Adult",Hospital_Patient[[#This Row],[Age]]&lt;=60,"Middle Age",Hospital_Patient[[#This Row],[Age]]&gt;60,"Senior")</f>
        <v>Senior</v>
      </c>
      <c r="Q890" t="str" cm="1">
        <f t="array" ref="Q89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0">
        <f>YEAR(Hospital_Patient[[#This Row],[Discharge_Date]])</f>
        <v>2022</v>
      </c>
    </row>
    <row r="891" spans="1:18" x14ac:dyDescent="0.25">
      <c r="A891">
        <v>955</v>
      </c>
      <c r="B891">
        <v>52</v>
      </c>
      <c r="C891" t="s">
        <v>15</v>
      </c>
      <c r="D891" t="s">
        <v>49</v>
      </c>
      <c r="E891" t="s">
        <v>50</v>
      </c>
      <c r="F891" s="5">
        <v>44673</v>
      </c>
      <c r="G891" s="5">
        <v>44739</v>
      </c>
      <c r="H891" t="s">
        <v>66</v>
      </c>
      <c r="I891">
        <v>2022</v>
      </c>
      <c r="J891">
        <v>66</v>
      </c>
      <c r="K891" t="s">
        <v>19</v>
      </c>
      <c r="L891" t="s">
        <v>26</v>
      </c>
      <c r="M891">
        <v>4</v>
      </c>
      <c r="N891" t="s">
        <v>19</v>
      </c>
      <c r="O891">
        <v>800</v>
      </c>
      <c r="P891" t="str" cm="1">
        <f t="array" ref="P891">_xlfn.IFS(Hospital_Patient[[#This Row],[Age]]&lt;=18,"Young",Hospital_Patient[[#This Row],[Age]]&lt;=36,"Adult",Hospital_Patient[[#This Row],[Age]]&lt;=60,"Middle Age",Hospital_Patient[[#This Row],[Age]]&gt;60,"Senior")</f>
        <v>Middle Age</v>
      </c>
      <c r="Q891" t="str" cm="1">
        <f t="array" ref="Q89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91">
        <f>YEAR(Hospital_Patient[[#This Row],[Discharge_Date]])</f>
        <v>2022</v>
      </c>
    </row>
    <row r="892" spans="1:18" hidden="1" x14ac:dyDescent="0.25">
      <c r="A892">
        <v>449</v>
      </c>
      <c r="B892">
        <v>68</v>
      </c>
      <c r="C892" t="s">
        <v>22</v>
      </c>
      <c r="D892" t="s">
        <v>36</v>
      </c>
      <c r="E892" t="s">
        <v>37</v>
      </c>
      <c r="F892" s="5">
        <v>44706</v>
      </c>
      <c r="G892" s="5">
        <v>44738</v>
      </c>
      <c r="H892" t="s">
        <v>38</v>
      </c>
      <c r="I892">
        <v>2022</v>
      </c>
      <c r="J892">
        <v>32</v>
      </c>
      <c r="K892" t="s">
        <v>19</v>
      </c>
      <c r="L892" t="s">
        <v>26</v>
      </c>
      <c r="M892">
        <v>4</v>
      </c>
      <c r="N892" t="s">
        <v>21</v>
      </c>
      <c r="O892">
        <v>1000</v>
      </c>
      <c r="P892" t="str" cm="1">
        <f t="array" ref="P892">_xlfn.IFS(Hospital_Patient[[#This Row],[Age]]&lt;=18,"Young",Hospital_Patient[[#This Row],[Age]]&lt;=36,"Adult",Hospital_Patient[[#This Row],[Age]]&lt;=60,"Middle Age",Hospital_Patient[[#This Row],[Age]]&gt;60,"Senior")</f>
        <v>Senior</v>
      </c>
      <c r="Q892" t="str" cm="1">
        <f t="array" ref="Q89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2">
        <f>YEAR(Hospital_Patient[[#This Row],[Discharge_Date]])</f>
        <v>2022</v>
      </c>
    </row>
    <row r="893" spans="1:18" x14ac:dyDescent="0.25">
      <c r="A893">
        <v>243</v>
      </c>
      <c r="B893">
        <v>45</v>
      </c>
      <c r="C893" t="s">
        <v>15</v>
      </c>
      <c r="D893" t="s">
        <v>39</v>
      </c>
      <c r="E893" t="s">
        <v>40</v>
      </c>
      <c r="F893" s="5">
        <v>44717</v>
      </c>
      <c r="G893" s="5">
        <v>44737</v>
      </c>
      <c r="H893" t="s">
        <v>73</v>
      </c>
      <c r="I893">
        <v>2022</v>
      </c>
      <c r="J893">
        <v>20</v>
      </c>
      <c r="K893" t="s">
        <v>19</v>
      </c>
      <c r="L893" t="s">
        <v>20</v>
      </c>
      <c r="M893">
        <v>3</v>
      </c>
      <c r="N893" t="s">
        <v>21</v>
      </c>
      <c r="O893">
        <v>8000</v>
      </c>
      <c r="P893" t="str" cm="1">
        <f t="array" ref="P893">_xlfn.IFS(Hospital_Patient[[#This Row],[Age]]&lt;=18,"Young",Hospital_Patient[[#This Row],[Age]]&lt;=36,"Adult",Hospital_Patient[[#This Row],[Age]]&lt;=60,"Middle Age",Hospital_Patient[[#This Row],[Age]]&gt;60,"Senior")</f>
        <v>Middle Age</v>
      </c>
      <c r="Q893" t="str" cm="1">
        <f t="array" ref="Q89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93">
        <f>YEAR(Hospital_Patient[[#This Row],[Discharge_Date]])</f>
        <v>2022</v>
      </c>
    </row>
    <row r="894" spans="1:18" hidden="1" x14ac:dyDescent="0.25">
      <c r="A894">
        <v>639</v>
      </c>
      <c r="B894">
        <v>78</v>
      </c>
      <c r="C894" t="s">
        <v>22</v>
      </c>
      <c r="D894" t="s">
        <v>30</v>
      </c>
      <c r="E894" t="s">
        <v>31</v>
      </c>
      <c r="F894" s="5">
        <v>44686</v>
      </c>
      <c r="G894" s="5">
        <v>44737</v>
      </c>
      <c r="H894" t="s">
        <v>63</v>
      </c>
      <c r="I894">
        <v>2022</v>
      </c>
      <c r="J894">
        <v>51</v>
      </c>
      <c r="K894" t="s">
        <v>19</v>
      </c>
      <c r="L894" t="s">
        <v>26</v>
      </c>
      <c r="M894">
        <v>2</v>
      </c>
      <c r="N894" t="s">
        <v>19</v>
      </c>
      <c r="O894">
        <v>10000</v>
      </c>
      <c r="P894" t="str" cm="1">
        <f t="array" ref="P894">_xlfn.IFS(Hospital_Patient[[#This Row],[Age]]&lt;=18,"Young",Hospital_Patient[[#This Row],[Age]]&lt;=36,"Adult",Hospital_Patient[[#This Row],[Age]]&lt;=60,"Middle Age",Hospital_Patient[[#This Row],[Age]]&gt;60,"Senior")</f>
        <v>Senior</v>
      </c>
      <c r="Q894" t="str" cm="1">
        <f t="array" ref="Q89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4">
        <f>YEAR(Hospital_Patient[[#This Row],[Discharge_Date]])</f>
        <v>2022</v>
      </c>
    </row>
    <row r="895" spans="1:18" hidden="1" x14ac:dyDescent="0.25">
      <c r="A895">
        <v>592</v>
      </c>
      <c r="B895">
        <v>65</v>
      </c>
      <c r="C895" t="s">
        <v>22</v>
      </c>
      <c r="D895" t="s">
        <v>23</v>
      </c>
      <c r="E895" t="s">
        <v>24</v>
      </c>
      <c r="F895" s="5">
        <v>44693</v>
      </c>
      <c r="G895" s="5">
        <v>44736</v>
      </c>
      <c r="H895" t="s">
        <v>71</v>
      </c>
      <c r="I895">
        <v>2022</v>
      </c>
      <c r="J895">
        <v>43</v>
      </c>
      <c r="K895" t="s">
        <v>19</v>
      </c>
      <c r="L895" t="s">
        <v>26</v>
      </c>
      <c r="M895">
        <v>3</v>
      </c>
      <c r="N895" t="s">
        <v>19</v>
      </c>
      <c r="O895">
        <v>2000</v>
      </c>
      <c r="P895" t="str" cm="1">
        <f t="array" ref="P895">_xlfn.IFS(Hospital_Patient[[#This Row],[Age]]&lt;=18,"Young",Hospital_Patient[[#This Row],[Age]]&lt;=36,"Adult",Hospital_Patient[[#This Row],[Age]]&lt;=60,"Middle Age",Hospital_Patient[[#This Row],[Age]]&gt;60,"Senior")</f>
        <v>Senior</v>
      </c>
      <c r="Q895" t="str" cm="1">
        <f t="array" ref="Q89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5">
        <f>YEAR(Hospital_Patient[[#This Row],[Discharge_Date]])</f>
        <v>2022</v>
      </c>
    </row>
    <row r="896" spans="1:18" x14ac:dyDescent="0.25">
      <c r="A896">
        <v>667</v>
      </c>
      <c r="B896">
        <v>35</v>
      </c>
      <c r="C896" t="s">
        <v>15</v>
      </c>
      <c r="D896" t="s">
        <v>27</v>
      </c>
      <c r="E896" t="s">
        <v>28</v>
      </c>
      <c r="F896" s="5">
        <v>44690</v>
      </c>
      <c r="G896" s="5">
        <v>44736</v>
      </c>
      <c r="H896" t="s">
        <v>29</v>
      </c>
      <c r="I896">
        <v>2022</v>
      </c>
      <c r="J896">
        <v>46</v>
      </c>
      <c r="K896" t="s">
        <v>21</v>
      </c>
      <c r="L896" t="s">
        <v>20</v>
      </c>
      <c r="M896">
        <v>5</v>
      </c>
      <c r="N896" t="s">
        <v>19</v>
      </c>
      <c r="O896">
        <v>500</v>
      </c>
      <c r="P896" t="str" cm="1">
        <f t="array" ref="P896">_xlfn.IFS(Hospital_Patient[[#This Row],[Age]]&lt;=18,"Young",Hospital_Patient[[#This Row],[Age]]&lt;=36,"Adult",Hospital_Patient[[#This Row],[Age]]&lt;=60,"Middle Age",Hospital_Patient[[#This Row],[Age]]&gt;60,"Senior")</f>
        <v>Adult</v>
      </c>
      <c r="Q896" t="str" cm="1">
        <f t="array" ref="Q89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896">
        <f>YEAR(Hospital_Patient[[#This Row],[Discharge_Date]])</f>
        <v>2022</v>
      </c>
    </row>
    <row r="897" spans="1:18" x14ac:dyDescent="0.25">
      <c r="A897">
        <v>842</v>
      </c>
      <c r="B897">
        <v>55</v>
      </c>
      <c r="C897" t="s">
        <v>15</v>
      </c>
      <c r="D897" t="s">
        <v>16</v>
      </c>
      <c r="E897" t="s">
        <v>17</v>
      </c>
      <c r="F897" s="5">
        <v>44674</v>
      </c>
      <c r="G897" s="5">
        <v>44736</v>
      </c>
      <c r="H897" t="s">
        <v>18</v>
      </c>
      <c r="I897">
        <v>2022</v>
      </c>
      <c r="J897">
        <v>62</v>
      </c>
      <c r="K897" t="s">
        <v>21</v>
      </c>
      <c r="L897" t="s">
        <v>20</v>
      </c>
      <c r="M897">
        <v>3</v>
      </c>
      <c r="N897" t="s">
        <v>21</v>
      </c>
      <c r="O897">
        <v>15000</v>
      </c>
      <c r="P897" t="str" cm="1">
        <f t="array" ref="P897">_xlfn.IFS(Hospital_Patient[[#This Row],[Age]]&lt;=18,"Young",Hospital_Patient[[#This Row],[Age]]&lt;=36,"Adult",Hospital_Patient[[#This Row],[Age]]&lt;=60,"Middle Age",Hospital_Patient[[#This Row],[Age]]&gt;60,"Senior")</f>
        <v>Middle Age</v>
      </c>
      <c r="Q897" t="str" cm="1">
        <f t="array" ref="Q89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97">
        <f>YEAR(Hospital_Patient[[#This Row],[Discharge_Date]])</f>
        <v>2022</v>
      </c>
    </row>
    <row r="898" spans="1:18" x14ac:dyDescent="0.25">
      <c r="A898">
        <v>229</v>
      </c>
      <c r="B898">
        <v>60</v>
      </c>
      <c r="C898" t="s">
        <v>15</v>
      </c>
      <c r="D898" t="s">
        <v>39</v>
      </c>
      <c r="E898" t="s">
        <v>40</v>
      </c>
      <c r="F898" s="5">
        <v>44716</v>
      </c>
      <c r="G898" s="5">
        <v>44735</v>
      </c>
      <c r="H898" t="s">
        <v>73</v>
      </c>
      <c r="I898">
        <v>2022</v>
      </c>
      <c r="J898">
        <v>19</v>
      </c>
      <c r="K898" t="s">
        <v>21</v>
      </c>
      <c r="L898" t="s">
        <v>20</v>
      </c>
      <c r="M898">
        <v>3</v>
      </c>
      <c r="N898" t="s">
        <v>19</v>
      </c>
      <c r="O898">
        <v>8000</v>
      </c>
      <c r="P898" t="str" cm="1">
        <f t="array" ref="P898">_xlfn.IFS(Hospital_Patient[[#This Row],[Age]]&lt;=18,"Young",Hospital_Patient[[#This Row],[Age]]&lt;=36,"Adult",Hospital_Patient[[#This Row],[Age]]&lt;=60,"Middle Age",Hospital_Patient[[#This Row],[Age]]&gt;60,"Senior")</f>
        <v>Middle Age</v>
      </c>
      <c r="Q898" t="str" cm="1">
        <f t="array" ref="Q89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898">
        <f>YEAR(Hospital_Patient[[#This Row],[Discharge_Date]])</f>
        <v>2022</v>
      </c>
    </row>
    <row r="899" spans="1:18" x14ac:dyDescent="0.25">
      <c r="A899">
        <v>977</v>
      </c>
      <c r="B899">
        <v>30</v>
      </c>
      <c r="C899" t="s">
        <v>15</v>
      </c>
      <c r="D899" t="s">
        <v>27</v>
      </c>
      <c r="E899" t="s">
        <v>28</v>
      </c>
      <c r="F899" s="5">
        <v>44665</v>
      </c>
      <c r="G899" s="5">
        <v>44732</v>
      </c>
      <c r="H899" t="s">
        <v>70</v>
      </c>
      <c r="I899">
        <v>2022</v>
      </c>
      <c r="J899">
        <v>67</v>
      </c>
      <c r="K899" t="s">
        <v>19</v>
      </c>
      <c r="L899" t="s">
        <v>20</v>
      </c>
      <c r="M899">
        <v>5</v>
      </c>
      <c r="N899" t="s">
        <v>21</v>
      </c>
      <c r="O899">
        <v>500</v>
      </c>
      <c r="P899" t="str" cm="1">
        <f t="array" ref="P899">_xlfn.IFS(Hospital_Patient[[#This Row],[Age]]&lt;=18,"Young",Hospital_Patient[[#This Row],[Age]]&lt;=36,"Adult",Hospital_Patient[[#This Row],[Age]]&lt;=60,"Middle Age",Hospital_Patient[[#This Row],[Age]]&gt;60,"Senior")</f>
        <v>Adult</v>
      </c>
      <c r="Q899" t="str" cm="1">
        <f t="array" ref="Q89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899">
        <f>YEAR(Hospital_Patient[[#This Row],[Discharge_Date]])</f>
        <v>2022</v>
      </c>
    </row>
    <row r="900" spans="1:18" hidden="1" x14ac:dyDescent="0.25">
      <c r="A900">
        <v>108</v>
      </c>
      <c r="B900">
        <v>78</v>
      </c>
      <c r="C900" t="s">
        <v>22</v>
      </c>
      <c r="D900" t="s">
        <v>30</v>
      </c>
      <c r="E900" t="s">
        <v>31</v>
      </c>
      <c r="F900" s="5">
        <v>44715</v>
      </c>
      <c r="G900" s="5">
        <v>44729</v>
      </c>
      <c r="H900" t="s">
        <v>32</v>
      </c>
      <c r="I900">
        <v>2022</v>
      </c>
      <c r="J900">
        <v>14</v>
      </c>
      <c r="K900" t="s">
        <v>19</v>
      </c>
      <c r="L900" t="s">
        <v>26</v>
      </c>
      <c r="M900">
        <v>2</v>
      </c>
      <c r="N900" t="s">
        <v>19</v>
      </c>
      <c r="O900">
        <v>10000</v>
      </c>
      <c r="P900" t="str" cm="1">
        <f t="array" ref="P900">_xlfn.IFS(Hospital_Patient[[#This Row],[Age]]&lt;=18,"Young",Hospital_Patient[[#This Row],[Age]]&lt;=36,"Adult",Hospital_Patient[[#This Row],[Age]]&lt;=60,"Middle Age",Hospital_Patient[[#This Row],[Age]]&gt;60,"Senior")</f>
        <v>Senior</v>
      </c>
      <c r="Q900" t="str" cm="1">
        <f t="array" ref="Q90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00">
        <f>YEAR(Hospital_Patient[[#This Row],[Discharge_Date]])</f>
        <v>2022</v>
      </c>
    </row>
    <row r="901" spans="1:18" x14ac:dyDescent="0.25">
      <c r="A901">
        <v>515</v>
      </c>
      <c r="B901">
        <v>32</v>
      </c>
      <c r="C901" t="s">
        <v>15</v>
      </c>
      <c r="D901" t="s">
        <v>54</v>
      </c>
      <c r="E901" t="s">
        <v>55</v>
      </c>
      <c r="F901" s="5">
        <v>44690</v>
      </c>
      <c r="G901" s="5">
        <v>44727</v>
      </c>
      <c r="H901" t="s">
        <v>56</v>
      </c>
      <c r="I901">
        <v>2022</v>
      </c>
      <c r="J901">
        <v>37</v>
      </c>
      <c r="K901" t="s">
        <v>19</v>
      </c>
      <c r="L901" t="s">
        <v>20</v>
      </c>
      <c r="M901">
        <v>4</v>
      </c>
      <c r="N901" t="s">
        <v>19</v>
      </c>
      <c r="O901">
        <v>12000</v>
      </c>
      <c r="P901" t="str" cm="1">
        <f t="array" ref="P901">_xlfn.IFS(Hospital_Patient[[#This Row],[Age]]&lt;=18,"Young",Hospital_Patient[[#This Row],[Age]]&lt;=36,"Adult",Hospital_Patient[[#This Row],[Age]]&lt;=60,"Middle Age",Hospital_Patient[[#This Row],[Age]]&gt;60,"Senior")</f>
        <v>Adult</v>
      </c>
      <c r="Q901" t="str" cm="1">
        <f t="array" ref="Q90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01">
        <f>YEAR(Hospital_Patient[[#This Row],[Discharge_Date]])</f>
        <v>2022</v>
      </c>
    </row>
    <row r="902" spans="1:18" x14ac:dyDescent="0.25">
      <c r="A902">
        <v>79</v>
      </c>
      <c r="B902">
        <v>53</v>
      </c>
      <c r="C902" t="s">
        <v>15</v>
      </c>
      <c r="D902" t="s">
        <v>33</v>
      </c>
      <c r="E902" t="s">
        <v>34</v>
      </c>
      <c r="F902" s="5">
        <v>44711</v>
      </c>
      <c r="G902" s="5">
        <v>44726</v>
      </c>
      <c r="H902" t="s">
        <v>64</v>
      </c>
      <c r="I902">
        <v>2022</v>
      </c>
      <c r="J902">
        <v>15</v>
      </c>
      <c r="K902" t="s">
        <v>21</v>
      </c>
      <c r="L902" t="s">
        <v>20</v>
      </c>
      <c r="M902">
        <v>4</v>
      </c>
      <c r="N902" t="s">
        <v>19</v>
      </c>
      <c r="O902">
        <v>25000</v>
      </c>
      <c r="P902" t="str" cm="1">
        <f t="array" ref="P902">_xlfn.IFS(Hospital_Patient[[#This Row],[Age]]&lt;=18,"Young",Hospital_Patient[[#This Row],[Age]]&lt;=36,"Adult",Hospital_Patient[[#This Row],[Age]]&lt;=60,"Middle Age",Hospital_Patient[[#This Row],[Age]]&gt;60,"Senior")</f>
        <v>Middle Age</v>
      </c>
      <c r="Q902" t="str" cm="1">
        <f t="array" ref="Q90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02">
        <f>YEAR(Hospital_Patient[[#This Row],[Discharge_Date]])</f>
        <v>2022</v>
      </c>
    </row>
    <row r="903" spans="1:18" hidden="1" x14ac:dyDescent="0.25">
      <c r="A903">
        <v>259</v>
      </c>
      <c r="B903">
        <v>45</v>
      </c>
      <c r="C903" t="s">
        <v>22</v>
      </c>
      <c r="D903" t="s">
        <v>42</v>
      </c>
      <c r="E903" t="s">
        <v>43</v>
      </c>
      <c r="F903" s="5">
        <v>44702</v>
      </c>
      <c r="G903" s="5">
        <v>44725</v>
      </c>
      <c r="H903" t="s">
        <v>70</v>
      </c>
      <c r="I903">
        <v>2022</v>
      </c>
      <c r="J903">
        <v>23</v>
      </c>
      <c r="K903" t="s">
        <v>19</v>
      </c>
      <c r="L903" t="s">
        <v>20</v>
      </c>
      <c r="M903">
        <v>4</v>
      </c>
      <c r="N903" t="s">
        <v>19</v>
      </c>
      <c r="O903">
        <v>3000</v>
      </c>
      <c r="P903" t="str" cm="1">
        <f t="array" ref="P903">_xlfn.IFS(Hospital_Patient[[#This Row],[Age]]&lt;=18,"Young",Hospital_Patient[[#This Row],[Age]]&lt;=36,"Adult",Hospital_Patient[[#This Row],[Age]]&lt;=60,"Middle Age",Hospital_Patient[[#This Row],[Age]]&gt;60,"Senior")</f>
        <v>Middle Age</v>
      </c>
      <c r="Q903" t="str" cm="1">
        <f t="array" ref="Q90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03">
        <f>YEAR(Hospital_Patient[[#This Row],[Discharge_Date]])</f>
        <v>2022</v>
      </c>
    </row>
    <row r="904" spans="1:18" hidden="1" x14ac:dyDescent="0.25">
      <c r="A904">
        <v>765</v>
      </c>
      <c r="B904">
        <v>67</v>
      </c>
      <c r="C904" t="s">
        <v>22</v>
      </c>
      <c r="D904" t="s">
        <v>52</v>
      </c>
      <c r="E904" t="s">
        <v>53</v>
      </c>
      <c r="F904" s="5">
        <v>44663</v>
      </c>
      <c r="G904" s="5">
        <v>44723</v>
      </c>
      <c r="H904" t="s">
        <v>51</v>
      </c>
      <c r="I904">
        <v>2022</v>
      </c>
      <c r="J904">
        <v>60</v>
      </c>
      <c r="K904" t="s">
        <v>19</v>
      </c>
      <c r="L904" t="s">
        <v>20</v>
      </c>
      <c r="M904">
        <v>3</v>
      </c>
      <c r="N904" t="s">
        <v>19</v>
      </c>
      <c r="O904">
        <v>20000</v>
      </c>
      <c r="P904" t="str" cm="1">
        <f t="array" ref="P904">_xlfn.IFS(Hospital_Patient[[#This Row],[Age]]&lt;=18,"Young",Hospital_Patient[[#This Row],[Age]]&lt;=36,"Adult",Hospital_Patient[[#This Row],[Age]]&lt;=60,"Middle Age",Hospital_Patient[[#This Row],[Age]]&gt;60,"Senior")</f>
        <v>Senior</v>
      </c>
      <c r="Q904" t="str" cm="1">
        <f t="array" ref="Q90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04">
        <f>YEAR(Hospital_Patient[[#This Row],[Discharge_Date]])</f>
        <v>2022</v>
      </c>
    </row>
    <row r="905" spans="1:18" x14ac:dyDescent="0.25">
      <c r="A905">
        <v>469</v>
      </c>
      <c r="B905">
        <v>52</v>
      </c>
      <c r="C905" t="s">
        <v>15</v>
      </c>
      <c r="D905" t="s">
        <v>49</v>
      </c>
      <c r="E905" t="s">
        <v>50</v>
      </c>
      <c r="F905" s="5">
        <v>44686</v>
      </c>
      <c r="G905" s="5">
        <v>44719</v>
      </c>
      <c r="H905" t="s">
        <v>66</v>
      </c>
      <c r="I905">
        <v>2022</v>
      </c>
      <c r="J905">
        <v>33</v>
      </c>
      <c r="K905" t="s">
        <v>19</v>
      </c>
      <c r="L905" t="s">
        <v>26</v>
      </c>
      <c r="M905">
        <v>4</v>
      </c>
      <c r="N905" t="s">
        <v>21</v>
      </c>
      <c r="O905">
        <v>800</v>
      </c>
      <c r="P905" t="str" cm="1">
        <f t="array" ref="P905">_xlfn.IFS(Hospital_Patient[[#This Row],[Age]]&lt;=18,"Young",Hospital_Patient[[#This Row],[Age]]&lt;=36,"Adult",Hospital_Patient[[#This Row],[Age]]&lt;=60,"Middle Age",Hospital_Patient[[#This Row],[Age]]&gt;60,"Senior")</f>
        <v>Middle Age</v>
      </c>
      <c r="Q905" t="str" cm="1">
        <f t="array" ref="Q90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05">
        <f>YEAR(Hospital_Patient[[#This Row],[Discharge_Date]])</f>
        <v>2022</v>
      </c>
    </row>
    <row r="906" spans="1:18" hidden="1" x14ac:dyDescent="0.25">
      <c r="A906">
        <v>794</v>
      </c>
      <c r="B906">
        <v>67</v>
      </c>
      <c r="C906" t="s">
        <v>22</v>
      </c>
      <c r="D906" t="s">
        <v>52</v>
      </c>
      <c r="E906" t="s">
        <v>53</v>
      </c>
      <c r="F906" s="5">
        <v>44657</v>
      </c>
      <c r="G906" s="5">
        <v>44719</v>
      </c>
      <c r="H906" t="s">
        <v>51</v>
      </c>
      <c r="I906">
        <v>2022</v>
      </c>
      <c r="J906">
        <v>62</v>
      </c>
      <c r="K906" t="s">
        <v>19</v>
      </c>
      <c r="L906" t="s">
        <v>20</v>
      </c>
      <c r="M906">
        <v>3</v>
      </c>
      <c r="N906" t="s">
        <v>21</v>
      </c>
      <c r="O906">
        <v>20000</v>
      </c>
      <c r="P906" t="str" cm="1">
        <f t="array" ref="P906">_xlfn.IFS(Hospital_Patient[[#This Row],[Age]]&lt;=18,"Young",Hospital_Patient[[#This Row],[Age]]&lt;=36,"Adult",Hospital_Patient[[#This Row],[Age]]&lt;=60,"Middle Age",Hospital_Patient[[#This Row],[Age]]&gt;60,"Senior")</f>
        <v>Senior</v>
      </c>
      <c r="Q906" t="str" cm="1">
        <f t="array" ref="Q90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06">
        <f>YEAR(Hospital_Patient[[#This Row],[Discharge_Date]])</f>
        <v>2022</v>
      </c>
    </row>
    <row r="907" spans="1:18" hidden="1" x14ac:dyDescent="0.25">
      <c r="A907">
        <v>261</v>
      </c>
      <c r="B907">
        <v>28</v>
      </c>
      <c r="C907" t="s">
        <v>22</v>
      </c>
      <c r="D907" t="s">
        <v>47</v>
      </c>
      <c r="E907" t="s">
        <v>48</v>
      </c>
      <c r="F907" s="5">
        <v>44700</v>
      </c>
      <c r="G907" s="5">
        <v>44718</v>
      </c>
      <c r="H907" t="s">
        <v>18</v>
      </c>
      <c r="I907">
        <v>2022</v>
      </c>
      <c r="J907">
        <v>18</v>
      </c>
      <c r="K907" t="s">
        <v>19</v>
      </c>
      <c r="L907" t="s">
        <v>20</v>
      </c>
      <c r="M907">
        <v>5</v>
      </c>
      <c r="N907" t="s">
        <v>19</v>
      </c>
      <c r="O907">
        <v>100</v>
      </c>
      <c r="P907" t="str" cm="1">
        <f t="array" ref="P907">_xlfn.IFS(Hospital_Patient[[#This Row],[Age]]&lt;=18,"Young",Hospital_Patient[[#This Row],[Age]]&lt;=36,"Adult",Hospital_Patient[[#This Row],[Age]]&lt;=60,"Middle Age",Hospital_Patient[[#This Row],[Age]]&gt;60,"Senior")</f>
        <v>Adult</v>
      </c>
      <c r="Q907" t="str" cm="1">
        <f t="array" ref="Q90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07">
        <f>YEAR(Hospital_Patient[[#This Row],[Discharge_Date]])</f>
        <v>2022</v>
      </c>
    </row>
    <row r="908" spans="1:18" x14ac:dyDescent="0.25">
      <c r="A908">
        <v>317</v>
      </c>
      <c r="B908">
        <v>60</v>
      </c>
      <c r="C908" t="s">
        <v>15</v>
      </c>
      <c r="D908" t="s">
        <v>39</v>
      </c>
      <c r="E908" t="s">
        <v>40</v>
      </c>
      <c r="F908" s="5">
        <v>44687</v>
      </c>
      <c r="G908" s="5">
        <v>44712</v>
      </c>
      <c r="H908" t="s">
        <v>65</v>
      </c>
      <c r="I908">
        <v>2022</v>
      </c>
      <c r="J908">
        <v>25</v>
      </c>
      <c r="K908" t="s">
        <v>21</v>
      </c>
      <c r="L908" t="s">
        <v>20</v>
      </c>
      <c r="M908">
        <v>3</v>
      </c>
      <c r="N908" t="s">
        <v>19</v>
      </c>
      <c r="O908">
        <v>8000</v>
      </c>
      <c r="P908" t="str" cm="1">
        <f t="array" ref="P908">_xlfn.IFS(Hospital_Patient[[#This Row],[Age]]&lt;=18,"Young",Hospital_Patient[[#This Row],[Age]]&lt;=36,"Adult",Hospital_Patient[[#This Row],[Age]]&lt;=60,"Middle Age",Hospital_Patient[[#This Row],[Age]]&gt;60,"Senior")</f>
        <v>Middle Age</v>
      </c>
      <c r="Q908" t="str" cm="1">
        <f t="array" ref="Q90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08">
        <f>YEAR(Hospital_Patient[[#This Row],[Discharge_Date]])</f>
        <v>2022</v>
      </c>
    </row>
    <row r="909" spans="1:18" x14ac:dyDescent="0.25">
      <c r="A909">
        <v>223</v>
      </c>
      <c r="B909">
        <v>55</v>
      </c>
      <c r="C909" t="s">
        <v>15</v>
      </c>
      <c r="D909" t="s">
        <v>16</v>
      </c>
      <c r="E909" t="s">
        <v>17</v>
      </c>
      <c r="F909" s="5">
        <v>44691</v>
      </c>
      <c r="G909" s="5">
        <v>44711</v>
      </c>
      <c r="H909" t="s">
        <v>69</v>
      </c>
      <c r="I909">
        <v>2022</v>
      </c>
      <c r="J909">
        <v>20</v>
      </c>
      <c r="K909" t="s">
        <v>21</v>
      </c>
      <c r="L909" t="s">
        <v>20</v>
      </c>
      <c r="M909">
        <v>3</v>
      </c>
      <c r="N909" t="s">
        <v>19</v>
      </c>
      <c r="O909">
        <v>15000</v>
      </c>
      <c r="P909" t="str" cm="1">
        <f t="array" ref="P909">_xlfn.IFS(Hospital_Patient[[#This Row],[Age]]&lt;=18,"Young",Hospital_Patient[[#This Row],[Age]]&lt;=36,"Adult",Hospital_Patient[[#This Row],[Age]]&lt;=60,"Middle Age",Hospital_Patient[[#This Row],[Age]]&gt;60,"Senior")</f>
        <v>Middle Age</v>
      </c>
      <c r="Q909" t="str" cm="1">
        <f t="array" ref="Q90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09">
        <f>YEAR(Hospital_Patient[[#This Row],[Discharge_Date]])</f>
        <v>2022</v>
      </c>
    </row>
    <row r="910" spans="1:18" x14ac:dyDescent="0.25">
      <c r="A910">
        <v>749</v>
      </c>
      <c r="B910">
        <v>52</v>
      </c>
      <c r="C910" t="s">
        <v>15</v>
      </c>
      <c r="D910" t="s">
        <v>49</v>
      </c>
      <c r="E910" t="s">
        <v>50</v>
      </c>
      <c r="F910" s="5">
        <v>44658</v>
      </c>
      <c r="G910" s="5">
        <v>44710</v>
      </c>
      <c r="H910" t="s">
        <v>64</v>
      </c>
      <c r="I910">
        <v>2022</v>
      </c>
      <c r="J910">
        <v>52</v>
      </c>
      <c r="K910" t="s">
        <v>19</v>
      </c>
      <c r="L910" t="s">
        <v>26</v>
      </c>
      <c r="M910">
        <v>4</v>
      </c>
      <c r="N910" t="s">
        <v>21</v>
      </c>
      <c r="O910">
        <v>800</v>
      </c>
      <c r="P910" t="str" cm="1">
        <f t="array" ref="P910">_xlfn.IFS(Hospital_Patient[[#This Row],[Age]]&lt;=18,"Young",Hospital_Patient[[#This Row],[Age]]&lt;=36,"Adult",Hospital_Patient[[#This Row],[Age]]&lt;=60,"Middle Age",Hospital_Patient[[#This Row],[Age]]&gt;60,"Senior")</f>
        <v>Middle Age</v>
      </c>
      <c r="Q910" t="str" cm="1">
        <f t="array" ref="Q91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0">
        <f>YEAR(Hospital_Patient[[#This Row],[Discharge_Date]])</f>
        <v>2022</v>
      </c>
    </row>
    <row r="911" spans="1:18" x14ac:dyDescent="0.25">
      <c r="A911">
        <v>443</v>
      </c>
      <c r="B911">
        <v>60</v>
      </c>
      <c r="C911" t="s">
        <v>15</v>
      </c>
      <c r="D911" t="s">
        <v>59</v>
      </c>
      <c r="E911" t="s">
        <v>60</v>
      </c>
      <c r="F911" s="5">
        <v>44674</v>
      </c>
      <c r="G911" s="5">
        <v>44708</v>
      </c>
      <c r="H911" t="s">
        <v>73</v>
      </c>
      <c r="I911">
        <v>2022</v>
      </c>
      <c r="J911">
        <v>34</v>
      </c>
      <c r="K911" t="s">
        <v>19</v>
      </c>
      <c r="L911" t="s">
        <v>26</v>
      </c>
      <c r="M911">
        <v>4</v>
      </c>
      <c r="N911" t="s">
        <v>19</v>
      </c>
      <c r="O911">
        <v>4000</v>
      </c>
      <c r="P911" t="str" cm="1">
        <f t="array" ref="P911">_xlfn.IFS(Hospital_Patient[[#This Row],[Age]]&lt;=18,"Young",Hospital_Patient[[#This Row],[Age]]&lt;=36,"Adult",Hospital_Patient[[#This Row],[Age]]&lt;=60,"Middle Age",Hospital_Patient[[#This Row],[Age]]&gt;60,"Senior")</f>
        <v>Middle Age</v>
      </c>
      <c r="Q911" t="str" cm="1">
        <f t="array" ref="Q91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1">
        <f>YEAR(Hospital_Patient[[#This Row],[Discharge_Date]])</f>
        <v>2022</v>
      </c>
    </row>
    <row r="912" spans="1:18" x14ac:dyDescent="0.25">
      <c r="A912">
        <v>188</v>
      </c>
      <c r="B912">
        <v>52</v>
      </c>
      <c r="C912" t="s">
        <v>15</v>
      </c>
      <c r="D912" t="s">
        <v>49</v>
      </c>
      <c r="E912" t="s">
        <v>50</v>
      </c>
      <c r="F912" s="5">
        <v>44692</v>
      </c>
      <c r="G912" s="5">
        <v>44706</v>
      </c>
      <c r="H912" t="s">
        <v>66</v>
      </c>
      <c r="I912">
        <v>2022</v>
      </c>
      <c r="J912">
        <v>14</v>
      </c>
      <c r="K912" t="s">
        <v>19</v>
      </c>
      <c r="L912" t="s">
        <v>26</v>
      </c>
      <c r="M912">
        <v>4</v>
      </c>
      <c r="N912" t="s">
        <v>21</v>
      </c>
      <c r="O912">
        <v>800</v>
      </c>
      <c r="P912" t="str" cm="1">
        <f t="array" ref="P912">_xlfn.IFS(Hospital_Patient[[#This Row],[Age]]&lt;=18,"Young",Hospital_Patient[[#This Row],[Age]]&lt;=36,"Adult",Hospital_Patient[[#This Row],[Age]]&lt;=60,"Middle Age",Hospital_Patient[[#This Row],[Age]]&gt;60,"Senior")</f>
        <v>Middle Age</v>
      </c>
      <c r="Q912" t="str" cm="1">
        <f t="array" ref="Q91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12">
        <f>YEAR(Hospital_Patient[[#This Row],[Discharge_Date]])</f>
        <v>2022</v>
      </c>
    </row>
    <row r="913" spans="1:18" hidden="1" x14ac:dyDescent="0.25">
      <c r="A913">
        <v>478</v>
      </c>
      <c r="B913">
        <v>68</v>
      </c>
      <c r="C913" t="s">
        <v>22</v>
      </c>
      <c r="D913" t="s">
        <v>36</v>
      </c>
      <c r="E913" t="s">
        <v>37</v>
      </c>
      <c r="F913" s="5">
        <v>44669</v>
      </c>
      <c r="G913" s="5">
        <v>44703</v>
      </c>
      <c r="H913" t="s">
        <v>38</v>
      </c>
      <c r="I913">
        <v>2022</v>
      </c>
      <c r="J913">
        <v>34</v>
      </c>
      <c r="K913" t="s">
        <v>19</v>
      </c>
      <c r="L913" t="s">
        <v>26</v>
      </c>
      <c r="M913">
        <v>4</v>
      </c>
      <c r="N913" t="s">
        <v>19</v>
      </c>
      <c r="O913">
        <v>1000</v>
      </c>
      <c r="P913" t="str" cm="1">
        <f t="array" ref="P913">_xlfn.IFS(Hospital_Patient[[#This Row],[Age]]&lt;=18,"Young",Hospital_Patient[[#This Row],[Age]]&lt;=36,"Adult",Hospital_Patient[[#This Row],[Age]]&lt;=60,"Middle Age",Hospital_Patient[[#This Row],[Age]]&gt;60,"Senior")</f>
        <v>Senior</v>
      </c>
      <c r="Q913" t="str" cm="1">
        <f t="array" ref="Q91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3">
        <f>YEAR(Hospital_Patient[[#This Row],[Discharge_Date]])</f>
        <v>2022</v>
      </c>
    </row>
    <row r="914" spans="1:18" hidden="1" x14ac:dyDescent="0.25">
      <c r="A914">
        <v>645</v>
      </c>
      <c r="B914">
        <v>28</v>
      </c>
      <c r="C914" t="s">
        <v>22</v>
      </c>
      <c r="D914" t="s">
        <v>47</v>
      </c>
      <c r="E914" t="s">
        <v>48</v>
      </c>
      <c r="F914" s="5">
        <v>44659</v>
      </c>
      <c r="G914" s="5">
        <v>44703</v>
      </c>
      <c r="H914" t="s">
        <v>18</v>
      </c>
      <c r="I914">
        <v>2022</v>
      </c>
      <c r="J914">
        <v>44</v>
      </c>
      <c r="K914" t="s">
        <v>19</v>
      </c>
      <c r="L914" t="s">
        <v>20</v>
      </c>
      <c r="M914">
        <v>5</v>
      </c>
      <c r="N914" t="s">
        <v>19</v>
      </c>
      <c r="O914">
        <v>100</v>
      </c>
      <c r="P914" t="str" cm="1">
        <f t="array" ref="P914">_xlfn.IFS(Hospital_Patient[[#This Row],[Age]]&lt;=18,"Young",Hospital_Patient[[#This Row],[Age]]&lt;=36,"Adult",Hospital_Patient[[#This Row],[Age]]&lt;=60,"Middle Age",Hospital_Patient[[#This Row],[Age]]&gt;60,"Senior")</f>
        <v>Adult</v>
      </c>
      <c r="Q914" t="str" cm="1">
        <f t="array" ref="Q91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4">
        <f>YEAR(Hospital_Patient[[#This Row],[Discharge_Date]])</f>
        <v>2022</v>
      </c>
    </row>
    <row r="915" spans="1:18" x14ac:dyDescent="0.25">
      <c r="A915">
        <v>5</v>
      </c>
      <c r="B915">
        <v>50</v>
      </c>
      <c r="C915" t="s">
        <v>15</v>
      </c>
      <c r="D915" t="s">
        <v>33</v>
      </c>
      <c r="E915" t="s">
        <v>34</v>
      </c>
      <c r="F915" s="5">
        <v>44691</v>
      </c>
      <c r="G915" s="5">
        <v>44701</v>
      </c>
      <c r="H915" t="s">
        <v>35</v>
      </c>
      <c r="I915">
        <v>2022</v>
      </c>
      <c r="J915">
        <v>10</v>
      </c>
      <c r="K915" t="s">
        <v>19</v>
      </c>
      <c r="L915" t="s">
        <v>20</v>
      </c>
      <c r="M915">
        <v>4</v>
      </c>
      <c r="N915" t="s">
        <v>19</v>
      </c>
      <c r="O915">
        <v>25000</v>
      </c>
      <c r="P915" t="str" cm="1">
        <f t="array" ref="P915">_xlfn.IFS(Hospital_Patient[[#This Row],[Age]]&lt;=18,"Young",Hospital_Patient[[#This Row],[Age]]&lt;=36,"Adult",Hospital_Patient[[#This Row],[Age]]&lt;=60,"Middle Age",Hospital_Patient[[#This Row],[Age]]&gt;60,"Senior")</f>
        <v>Middle Age</v>
      </c>
      <c r="Q915" t="str" cm="1">
        <f t="array" ref="Q91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15">
        <f>YEAR(Hospital_Patient[[#This Row],[Discharge_Date]])</f>
        <v>2022</v>
      </c>
    </row>
    <row r="916" spans="1:18" hidden="1" x14ac:dyDescent="0.25">
      <c r="A916">
        <v>346</v>
      </c>
      <c r="B916">
        <v>72</v>
      </c>
      <c r="C916" t="s">
        <v>22</v>
      </c>
      <c r="D916" t="s">
        <v>36</v>
      </c>
      <c r="E916" t="s">
        <v>37</v>
      </c>
      <c r="F916" s="5">
        <v>44676</v>
      </c>
      <c r="G916" s="5">
        <v>44701</v>
      </c>
      <c r="H916" t="s">
        <v>25</v>
      </c>
      <c r="I916">
        <v>2022</v>
      </c>
      <c r="J916">
        <v>25</v>
      </c>
      <c r="K916" t="s">
        <v>19</v>
      </c>
      <c r="L916" t="s">
        <v>26</v>
      </c>
      <c r="M916">
        <v>4</v>
      </c>
      <c r="N916" t="s">
        <v>19</v>
      </c>
      <c r="O916">
        <v>1000</v>
      </c>
      <c r="P916" t="str" cm="1">
        <f t="array" ref="P916">_xlfn.IFS(Hospital_Patient[[#This Row],[Age]]&lt;=18,"Young",Hospital_Patient[[#This Row],[Age]]&lt;=36,"Adult",Hospital_Patient[[#This Row],[Age]]&lt;=60,"Middle Age",Hospital_Patient[[#This Row],[Age]]&gt;60,"Senior")</f>
        <v>Senior</v>
      </c>
      <c r="Q916" t="str" cm="1">
        <f t="array" ref="Q91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16">
        <f>YEAR(Hospital_Patient[[#This Row],[Discharge_Date]])</f>
        <v>2022</v>
      </c>
    </row>
    <row r="917" spans="1:18" hidden="1" x14ac:dyDescent="0.25">
      <c r="A917">
        <v>445</v>
      </c>
      <c r="B917">
        <v>65</v>
      </c>
      <c r="C917" t="s">
        <v>22</v>
      </c>
      <c r="D917" t="s">
        <v>23</v>
      </c>
      <c r="E917" t="s">
        <v>24</v>
      </c>
      <c r="F917" s="5">
        <v>44668</v>
      </c>
      <c r="G917" s="5">
        <v>44701</v>
      </c>
      <c r="H917" t="s">
        <v>71</v>
      </c>
      <c r="I917">
        <v>2022</v>
      </c>
      <c r="J917">
        <v>33</v>
      </c>
      <c r="K917" t="s">
        <v>19</v>
      </c>
      <c r="L917" t="s">
        <v>26</v>
      </c>
      <c r="M917">
        <v>3</v>
      </c>
      <c r="N917" t="s">
        <v>21</v>
      </c>
      <c r="O917">
        <v>2000</v>
      </c>
      <c r="P917" t="str" cm="1">
        <f t="array" ref="P917">_xlfn.IFS(Hospital_Patient[[#This Row],[Age]]&lt;=18,"Young",Hospital_Patient[[#This Row],[Age]]&lt;=36,"Adult",Hospital_Patient[[#This Row],[Age]]&lt;=60,"Middle Age",Hospital_Patient[[#This Row],[Age]]&gt;60,"Senior")</f>
        <v>Senior</v>
      </c>
      <c r="Q917" t="str" cm="1">
        <f t="array" ref="Q91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7">
        <f>YEAR(Hospital_Patient[[#This Row],[Discharge_Date]])</f>
        <v>2022</v>
      </c>
    </row>
    <row r="918" spans="1:18" hidden="1" x14ac:dyDescent="0.25">
      <c r="A918">
        <v>696</v>
      </c>
      <c r="B918">
        <v>62</v>
      </c>
      <c r="C918" t="s">
        <v>22</v>
      </c>
      <c r="D918" t="s">
        <v>23</v>
      </c>
      <c r="E918" t="s">
        <v>24</v>
      </c>
      <c r="F918" s="5">
        <v>44651</v>
      </c>
      <c r="G918" s="5">
        <v>44701</v>
      </c>
      <c r="H918" t="s">
        <v>61</v>
      </c>
      <c r="I918">
        <v>2022</v>
      </c>
      <c r="J918">
        <v>50</v>
      </c>
      <c r="K918" t="s">
        <v>19</v>
      </c>
      <c r="L918" t="s">
        <v>26</v>
      </c>
      <c r="M918">
        <v>4</v>
      </c>
      <c r="N918" t="s">
        <v>19</v>
      </c>
      <c r="O918">
        <v>2000</v>
      </c>
      <c r="P918" t="str" cm="1">
        <f t="array" ref="P918">_xlfn.IFS(Hospital_Patient[[#This Row],[Age]]&lt;=18,"Young",Hospital_Patient[[#This Row],[Age]]&lt;=36,"Adult",Hospital_Patient[[#This Row],[Age]]&lt;=60,"Middle Age",Hospital_Patient[[#This Row],[Age]]&gt;60,"Senior")</f>
        <v>Senior</v>
      </c>
      <c r="Q918" t="str" cm="1">
        <f t="array" ref="Q91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18">
        <f>YEAR(Hospital_Patient[[#This Row],[Discharge_Date]])</f>
        <v>2022</v>
      </c>
    </row>
    <row r="919" spans="1:18" hidden="1" x14ac:dyDescent="0.25">
      <c r="A919">
        <v>917</v>
      </c>
      <c r="B919">
        <v>65</v>
      </c>
      <c r="C919" t="s">
        <v>22</v>
      </c>
      <c r="D919" t="s">
        <v>23</v>
      </c>
      <c r="E919" t="s">
        <v>24</v>
      </c>
      <c r="F919" s="5">
        <v>44635</v>
      </c>
      <c r="G919" s="5">
        <v>44700</v>
      </c>
      <c r="H919" t="s">
        <v>25</v>
      </c>
      <c r="I919">
        <v>2022</v>
      </c>
      <c r="J919">
        <v>65</v>
      </c>
      <c r="K919" t="s">
        <v>19</v>
      </c>
      <c r="L919" t="s">
        <v>26</v>
      </c>
      <c r="M919">
        <v>3</v>
      </c>
      <c r="N919" t="s">
        <v>21</v>
      </c>
      <c r="O919">
        <v>2000</v>
      </c>
      <c r="P919" t="str" cm="1">
        <f t="array" ref="P919">_xlfn.IFS(Hospital_Patient[[#This Row],[Age]]&lt;=18,"Young",Hospital_Patient[[#This Row],[Age]]&lt;=36,"Adult",Hospital_Patient[[#This Row],[Age]]&lt;=60,"Middle Age",Hospital_Patient[[#This Row],[Age]]&gt;60,"Senior")</f>
        <v>Senior</v>
      </c>
      <c r="Q919" t="str" cm="1">
        <f t="array" ref="Q91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19">
        <f>YEAR(Hospital_Patient[[#This Row],[Discharge_Date]])</f>
        <v>2022</v>
      </c>
    </row>
    <row r="920" spans="1:18" hidden="1" x14ac:dyDescent="0.25">
      <c r="A920">
        <v>657</v>
      </c>
      <c r="B920">
        <v>40</v>
      </c>
      <c r="C920" t="s">
        <v>22</v>
      </c>
      <c r="D920" t="s">
        <v>42</v>
      </c>
      <c r="E920" t="s">
        <v>43</v>
      </c>
      <c r="F920" s="5">
        <v>44645</v>
      </c>
      <c r="G920" s="5">
        <v>44695</v>
      </c>
      <c r="H920" t="s">
        <v>70</v>
      </c>
      <c r="I920">
        <v>2022</v>
      </c>
      <c r="J920">
        <v>50</v>
      </c>
      <c r="K920" t="s">
        <v>19</v>
      </c>
      <c r="L920" t="s">
        <v>20</v>
      </c>
      <c r="M920">
        <v>4</v>
      </c>
      <c r="N920" t="s">
        <v>19</v>
      </c>
      <c r="O920">
        <v>3000</v>
      </c>
      <c r="P920" t="str" cm="1">
        <f t="array" ref="P920">_xlfn.IFS(Hospital_Patient[[#This Row],[Age]]&lt;=18,"Young",Hospital_Patient[[#This Row],[Age]]&lt;=36,"Adult",Hospital_Patient[[#This Row],[Age]]&lt;=60,"Middle Age",Hospital_Patient[[#This Row],[Age]]&gt;60,"Senior")</f>
        <v>Middle Age</v>
      </c>
      <c r="Q920" t="str" cm="1">
        <f t="array" ref="Q92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0">
        <f>YEAR(Hospital_Patient[[#This Row],[Discharge_Date]])</f>
        <v>2022</v>
      </c>
    </row>
    <row r="921" spans="1:18" hidden="1" x14ac:dyDescent="0.25">
      <c r="A921">
        <v>596</v>
      </c>
      <c r="B921">
        <v>68</v>
      </c>
      <c r="C921" t="s">
        <v>22</v>
      </c>
      <c r="D921" t="s">
        <v>36</v>
      </c>
      <c r="E921" t="s">
        <v>37</v>
      </c>
      <c r="F921" s="5">
        <v>44649</v>
      </c>
      <c r="G921" s="5">
        <v>44693</v>
      </c>
      <c r="H921" t="s">
        <v>79</v>
      </c>
      <c r="I921">
        <v>2022</v>
      </c>
      <c r="J921">
        <v>44</v>
      </c>
      <c r="K921" t="s">
        <v>19</v>
      </c>
      <c r="L921" t="s">
        <v>26</v>
      </c>
      <c r="M921">
        <v>4</v>
      </c>
      <c r="N921" t="s">
        <v>19</v>
      </c>
      <c r="O921">
        <v>1000</v>
      </c>
      <c r="P921" t="str" cm="1">
        <f t="array" ref="P921">_xlfn.IFS(Hospital_Patient[[#This Row],[Age]]&lt;=18,"Young",Hospital_Patient[[#This Row],[Age]]&lt;=36,"Adult",Hospital_Patient[[#This Row],[Age]]&lt;=60,"Middle Age",Hospital_Patient[[#This Row],[Age]]&gt;60,"Senior")</f>
        <v>Senior</v>
      </c>
      <c r="Q921" t="str" cm="1">
        <f t="array" ref="Q92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1">
        <f>YEAR(Hospital_Patient[[#This Row],[Discharge_Date]])</f>
        <v>2022</v>
      </c>
    </row>
    <row r="922" spans="1:18" x14ac:dyDescent="0.25">
      <c r="A922">
        <v>531</v>
      </c>
      <c r="B922">
        <v>60</v>
      </c>
      <c r="C922" t="s">
        <v>15</v>
      </c>
      <c r="D922" t="s">
        <v>59</v>
      </c>
      <c r="E922" t="s">
        <v>60</v>
      </c>
      <c r="F922" s="5">
        <v>44648</v>
      </c>
      <c r="G922" s="5">
        <v>44688</v>
      </c>
      <c r="H922" t="s">
        <v>73</v>
      </c>
      <c r="I922">
        <v>2022</v>
      </c>
      <c r="J922">
        <v>40</v>
      </c>
      <c r="K922" t="s">
        <v>19</v>
      </c>
      <c r="L922" t="s">
        <v>26</v>
      </c>
      <c r="M922">
        <v>4</v>
      </c>
      <c r="N922" t="s">
        <v>19</v>
      </c>
      <c r="O922">
        <v>4000</v>
      </c>
      <c r="P922" t="str" cm="1">
        <f t="array" ref="P922">_xlfn.IFS(Hospital_Patient[[#This Row],[Age]]&lt;=18,"Young",Hospital_Patient[[#This Row],[Age]]&lt;=36,"Adult",Hospital_Patient[[#This Row],[Age]]&lt;=60,"Middle Age",Hospital_Patient[[#This Row],[Age]]&gt;60,"Senior")</f>
        <v>Middle Age</v>
      </c>
      <c r="Q922" t="str" cm="1">
        <f t="array" ref="Q92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2">
        <f>YEAR(Hospital_Patient[[#This Row],[Discharge_Date]])</f>
        <v>2022</v>
      </c>
    </row>
    <row r="923" spans="1:18" x14ac:dyDescent="0.25">
      <c r="A923">
        <v>695</v>
      </c>
      <c r="B923">
        <v>55</v>
      </c>
      <c r="C923" t="s">
        <v>15</v>
      </c>
      <c r="D923" t="s">
        <v>16</v>
      </c>
      <c r="E923" t="s">
        <v>17</v>
      </c>
      <c r="F923" s="5">
        <v>44636</v>
      </c>
      <c r="G923" s="5">
        <v>44688</v>
      </c>
      <c r="H923" t="s">
        <v>72</v>
      </c>
      <c r="I923">
        <v>2022</v>
      </c>
      <c r="J923">
        <v>52</v>
      </c>
      <c r="K923" t="s">
        <v>21</v>
      </c>
      <c r="L923" t="s">
        <v>20</v>
      </c>
      <c r="M923">
        <v>3</v>
      </c>
      <c r="N923" t="s">
        <v>19</v>
      </c>
      <c r="O923">
        <v>15000</v>
      </c>
      <c r="P923" t="str" cm="1">
        <f t="array" ref="P923">_xlfn.IFS(Hospital_Patient[[#This Row],[Age]]&lt;=18,"Young",Hospital_Patient[[#This Row],[Age]]&lt;=36,"Adult",Hospital_Patient[[#This Row],[Age]]&lt;=60,"Middle Age",Hospital_Patient[[#This Row],[Age]]&gt;60,"Senior")</f>
        <v>Middle Age</v>
      </c>
      <c r="Q923" t="str" cm="1">
        <f t="array" ref="Q92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3">
        <f>YEAR(Hospital_Patient[[#This Row],[Discharge_Date]])</f>
        <v>2022</v>
      </c>
    </row>
    <row r="924" spans="1:18" x14ac:dyDescent="0.25">
      <c r="A924">
        <v>769</v>
      </c>
      <c r="B924">
        <v>48</v>
      </c>
      <c r="C924" t="s">
        <v>15</v>
      </c>
      <c r="D924" t="s">
        <v>16</v>
      </c>
      <c r="E924" t="s">
        <v>17</v>
      </c>
      <c r="F924" s="5">
        <v>44629</v>
      </c>
      <c r="G924" s="5">
        <v>44686</v>
      </c>
      <c r="H924" t="s">
        <v>18</v>
      </c>
      <c r="I924">
        <v>2022</v>
      </c>
      <c r="J924">
        <v>57</v>
      </c>
      <c r="K924" t="s">
        <v>21</v>
      </c>
      <c r="L924" t="s">
        <v>20</v>
      </c>
      <c r="M924">
        <v>4</v>
      </c>
      <c r="N924" t="s">
        <v>19</v>
      </c>
      <c r="O924">
        <v>15000</v>
      </c>
      <c r="P924" t="str" cm="1">
        <f t="array" ref="P924">_xlfn.IFS(Hospital_Patient[[#This Row],[Age]]&lt;=18,"Young",Hospital_Patient[[#This Row],[Age]]&lt;=36,"Adult",Hospital_Patient[[#This Row],[Age]]&lt;=60,"Middle Age",Hospital_Patient[[#This Row],[Age]]&gt;60,"Senior")</f>
        <v>Middle Age</v>
      </c>
      <c r="Q924" t="str" cm="1">
        <f t="array" ref="Q92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4">
        <f>YEAR(Hospital_Patient[[#This Row],[Discharge_Date]])</f>
        <v>2022</v>
      </c>
    </row>
    <row r="925" spans="1:18" x14ac:dyDescent="0.25">
      <c r="A925">
        <v>536</v>
      </c>
      <c r="B925">
        <v>55</v>
      </c>
      <c r="C925" t="s">
        <v>15</v>
      </c>
      <c r="D925" t="s">
        <v>33</v>
      </c>
      <c r="E925" t="s">
        <v>34</v>
      </c>
      <c r="F925" s="5">
        <v>44639</v>
      </c>
      <c r="G925" s="5">
        <v>44685</v>
      </c>
      <c r="H925" t="s">
        <v>67</v>
      </c>
      <c r="I925">
        <v>2022</v>
      </c>
      <c r="J925">
        <v>46</v>
      </c>
      <c r="K925" t="s">
        <v>19</v>
      </c>
      <c r="L925" t="s">
        <v>20</v>
      </c>
      <c r="M925">
        <v>4</v>
      </c>
      <c r="N925" t="s">
        <v>19</v>
      </c>
      <c r="O925">
        <v>25000</v>
      </c>
      <c r="P925" t="str" cm="1">
        <f t="array" ref="P925">_xlfn.IFS(Hospital_Patient[[#This Row],[Age]]&lt;=18,"Young",Hospital_Patient[[#This Row],[Age]]&lt;=36,"Adult",Hospital_Patient[[#This Row],[Age]]&lt;=60,"Middle Age",Hospital_Patient[[#This Row],[Age]]&gt;60,"Senior")</f>
        <v>Middle Age</v>
      </c>
      <c r="Q925" t="str" cm="1">
        <f t="array" ref="Q92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5">
        <f>YEAR(Hospital_Patient[[#This Row],[Discharge_Date]])</f>
        <v>2022</v>
      </c>
    </row>
    <row r="926" spans="1:18" x14ac:dyDescent="0.25">
      <c r="A926">
        <v>800</v>
      </c>
      <c r="B926">
        <v>30</v>
      </c>
      <c r="C926" t="s">
        <v>15</v>
      </c>
      <c r="D926" t="s">
        <v>27</v>
      </c>
      <c r="E926" t="s">
        <v>28</v>
      </c>
      <c r="F926" s="5">
        <v>44630</v>
      </c>
      <c r="G926" s="5">
        <v>44685</v>
      </c>
      <c r="H926" t="s">
        <v>29</v>
      </c>
      <c r="I926">
        <v>2022</v>
      </c>
      <c r="J926">
        <v>55</v>
      </c>
      <c r="K926" t="s">
        <v>19</v>
      </c>
      <c r="L926" t="s">
        <v>20</v>
      </c>
      <c r="M926">
        <v>5</v>
      </c>
      <c r="N926" t="s">
        <v>19</v>
      </c>
      <c r="O926">
        <v>500</v>
      </c>
      <c r="P926" t="str" cm="1">
        <f t="array" ref="P926">_xlfn.IFS(Hospital_Patient[[#This Row],[Age]]&lt;=18,"Young",Hospital_Patient[[#This Row],[Age]]&lt;=36,"Adult",Hospital_Patient[[#This Row],[Age]]&lt;=60,"Middle Age",Hospital_Patient[[#This Row],[Age]]&gt;60,"Senior")</f>
        <v>Adult</v>
      </c>
      <c r="Q926" t="str" cm="1">
        <f t="array" ref="Q92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26">
        <f>YEAR(Hospital_Patient[[#This Row],[Discharge_Date]])</f>
        <v>2022</v>
      </c>
    </row>
    <row r="927" spans="1:18" x14ac:dyDescent="0.25">
      <c r="A927">
        <v>975</v>
      </c>
      <c r="B927">
        <v>48</v>
      </c>
      <c r="C927" t="s">
        <v>15</v>
      </c>
      <c r="D927" t="s">
        <v>16</v>
      </c>
      <c r="E927" t="s">
        <v>17</v>
      </c>
      <c r="F927" s="5">
        <v>44613</v>
      </c>
      <c r="G927" s="5">
        <v>44684</v>
      </c>
      <c r="H927" t="s">
        <v>69</v>
      </c>
      <c r="I927">
        <v>2022</v>
      </c>
      <c r="J927">
        <v>71</v>
      </c>
      <c r="K927" t="s">
        <v>21</v>
      </c>
      <c r="L927" t="s">
        <v>20</v>
      </c>
      <c r="M927">
        <v>4</v>
      </c>
      <c r="N927" t="s">
        <v>19</v>
      </c>
      <c r="O927">
        <v>15000</v>
      </c>
      <c r="P927" t="str" cm="1">
        <f t="array" ref="P927">_xlfn.IFS(Hospital_Patient[[#This Row],[Age]]&lt;=18,"Young",Hospital_Patient[[#This Row],[Age]]&lt;=36,"Adult",Hospital_Patient[[#This Row],[Age]]&lt;=60,"Middle Age",Hospital_Patient[[#This Row],[Age]]&gt;60,"Senior")</f>
        <v>Middle Age</v>
      </c>
      <c r="Q927" t="str" cm="1">
        <f t="array" ref="Q92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27">
        <f>YEAR(Hospital_Patient[[#This Row],[Discharge_Date]])</f>
        <v>2022</v>
      </c>
    </row>
    <row r="928" spans="1:18" hidden="1" x14ac:dyDescent="0.25">
      <c r="A928">
        <v>19</v>
      </c>
      <c r="B928">
        <v>78</v>
      </c>
      <c r="C928" t="s">
        <v>22</v>
      </c>
      <c r="D928" t="s">
        <v>30</v>
      </c>
      <c r="E928" t="s">
        <v>31</v>
      </c>
      <c r="F928" s="5">
        <v>44675</v>
      </c>
      <c r="G928" s="5">
        <v>44683</v>
      </c>
      <c r="H928" t="s">
        <v>63</v>
      </c>
      <c r="I928">
        <v>2022</v>
      </c>
      <c r="J928">
        <v>8</v>
      </c>
      <c r="K928" t="s">
        <v>19</v>
      </c>
      <c r="L928" t="s">
        <v>26</v>
      </c>
      <c r="M928">
        <v>2</v>
      </c>
      <c r="N928" t="s">
        <v>19</v>
      </c>
      <c r="O928">
        <v>10000</v>
      </c>
      <c r="P928" t="str" cm="1">
        <f t="array" ref="P928">_xlfn.IFS(Hospital_Patient[[#This Row],[Age]]&lt;=18,"Young",Hospital_Patient[[#This Row],[Age]]&lt;=36,"Adult",Hospital_Patient[[#This Row],[Age]]&lt;=60,"Middle Age",Hospital_Patient[[#This Row],[Age]]&gt;60,"Senior")</f>
        <v>Senior</v>
      </c>
      <c r="Q928" t="str" cm="1">
        <f t="array" ref="Q92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28">
        <f>YEAR(Hospital_Patient[[#This Row],[Discharge_Date]])</f>
        <v>2022</v>
      </c>
    </row>
    <row r="929" spans="1:18" x14ac:dyDescent="0.25">
      <c r="A929">
        <v>39</v>
      </c>
      <c r="B929">
        <v>78</v>
      </c>
      <c r="C929" t="s">
        <v>15</v>
      </c>
      <c r="D929" t="s">
        <v>45</v>
      </c>
      <c r="E929" t="s">
        <v>46</v>
      </c>
      <c r="F929" s="5">
        <v>44672</v>
      </c>
      <c r="G929" s="5">
        <v>44682</v>
      </c>
      <c r="H929" t="s">
        <v>18</v>
      </c>
      <c r="I929">
        <v>2022</v>
      </c>
      <c r="J929">
        <v>10</v>
      </c>
      <c r="K929" t="s">
        <v>21</v>
      </c>
      <c r="L929" t="s">
        <v>26</v>
      </c>
      <c r="M929">
        <v>2</v>
      </c>
      <c r="N929" t="s">
        <v>21</v>
      </c>
      <c r="O929">
        <v>18000</v>
      </c>
      <c r="P929" t="str" cm="1">
        <f t="array" ref="P929">_xlfn.IFS(Hospital_Patient[[#This Row],[Age]]&lt;=18,"Young",Hospital_Patient[[#This Row],[Age]]&lt;=36,"Adult",Hospital_Patient[[#This Row],[Age]]&lt;=60,"Middle Age",Hospital_Patient[[#This Row],[Age]]&gt;60,"Senior")</f>
        <v>Senior</v>
      </c>
      <c r="Q929" t="str" cm="1">
        <f t="array" ref="Q92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29">
        <f>YEAR(Hospital_Patient[[#This Row],[Discharge_Date]])</f>
        <v>2022</v>
      </c>
    </row>
    <row r="930" spans="1:18" hidden="1" x14ac:dyDescent="0.25">
      <c r="A930">
        <v>832</v>
      </c>
      <c r="B930">
        <v>68</v>
      </c>
      <c r="C930" t="s">
        <v>22</v>
      </c>
      <c r="D930" t="s">
        <v>36</v>
      </c>
      <c r="E930" t="s">
        <v>37</v>
      </c>
      <c r="F930" s="5">
        <v>44622</v>
      </c>
      <c r="G930" s="5">
        <v>44682</v>
      </c>
      <c r="H930" t="s">
        <v>69</v>
      </c>
      <c r="I930">
        <v>2022</v>
      </c>
      <c r="J930">
        <v>60</v>
      </c>
      <c r="K930" t="s">
        <v>19</v>
      </c>
      <c r="L930" t="s">
        <v>26</v>
      </c>
      <c r="M930">
        <v>4</v>
      </c>
      <c r="N930" t="s">
        <v>19</v>
      </c>
      <c r="O930">
        <v>1000</v>
      </c>
      <c r="P930" t="str" cm="1">
        <f t="array" ref="P930">_xlfn.IFS(Hospital_Patient[[#This Row],[Age]]&lt;=18,"Young",Hospital_Patient[[#This Row],[Age]]&lt;=36,"Adult",Hospital_Patient[[#This Row],[Age]]&lt;=60,"Middle Age",Hospital_Patient[[#This Row],[Age]]&gt;60,"Senior")</f>
        <v>Senior</v>
      </c>
      <c r="Q930" t="str" cm="1">
        <f t="array" ref="Q93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0">
        <f>YEAR(Hospital_Patient[[#This Row],[Discharge_Date]])</f>
        <v>2022</v>
      </c>
    </row>
    <row r="931" spans="1:18" hidden="1" x14ac:dyDescent="0.25">
      <c r="A931">
        <v>219</v>
      </c>
      <c r="B931">
        <v>58</v>
      </c>
      <c r="C931" t="s">
        <v>22</v>
      </c>
      <c r="D931" t="s">
        <v>52</v>
      </c>
      <c r="E931" t="s">
        <v>53</v>
      </c>
      <c r="F931" s="5">
        <v>44657</v>
      </c>
      <c r="G931" s="5">
        <v>44680</v>
      </c>
      <c r="H931" t="s">
        <v>67</v>
      </c>
      <c r="I931">
        <v>2022</v>
      </c>
      <c r="J931">
        <v>23</v>
      </c>
      <c r="K931" t="s">
        <v>19</v>
      </c>
      <c r="L931" t="s">
        <v>20</v>
      </c>
      <c r="M931">
        <v>3</v>
      </c>
      <c r="N931" t="s">
        <v>19</v>
      </c>
      <c r="O931">
        <v>20000</v>
      </c>
      <c r="P931" t="str" cm="1">
        <f t="array" ref="P931">_xlfn.IFS(Hospital_Patient[[#This Row],[Age]]&lt;=18,"Young",Hospital_Patient[[#This Row],[Age]]&lt;=36,"Adult",Hospital_Patient[[#This Row],[Age]]&lt;=60,"Middle Age",Hospital_Patient[[#This Row],[Age]]&gt;60,"Senior")</f>
        <v>Middle Age</v>
      </c>
      <c r="Q931" t="str" cm="1">
        <f t="array" ref="Q93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31">
        <f>YEAR(Hospital_Patient[[#This Row],[Discharge_Date]])</f>
        <v>2022</v>
      </c>
    </row>
    <row r="932" spans="1:18" x14ac:dyDescent="0.25">
      <c r="A932">
        <v>422</v>
      </c>
      <c r="B932">
        <v>78</v>
      </c>
      <c r="C932" t="s">
        <v>15</v>
      </c>
      <c r="D932" t="s">
        <v>45</v>
      </c>
      <c r="E932" t="s">
        <v>46</v>
      </c>
      <c r="F932" s="5">
        <v>44644</v>
      </c>
      <c r="G932" s="5">
        <v>44680</v>
      </c>
      <c r="H932" t="s">
        <v>18</v>
      </c>
      <c r="I932">
        <v>2022</v>
      </c>
      <c r="J932">
        <v>36</v>
      </c>
      <c r="K932" t="s">
        <v>21</v>
      </c>
      <c r="L932" t="s">
        <v>26</v>
      </c>
      <c r="M932">
        <v>2</v>
      </c>
      <c r="N932" t="s">
        <v>21</v>
      </c>
      <c r="O932">
        <v>18000</v>
      </c>
      <c r="P932" t="str" cm="1">
        <f t="array" ref="P932">_xlfn.IFS(Hospital_Patient[[#This Row],[Age]]&lt;=18,"Young",Hospital_Patient[[#This Row],[Age]]&lt;=36,"Adult",Hospital_Patient[[#This Row],[Age]]&lt;=60,"Middle Age",Hospital_Patient[[#This Row],[Age]]&gt;60,"Senior")</f>
        <v>Senior</v>
      </c>
      <c r="Q932" t="str" cm="1">
        <f t="array" ref="Q93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2">
        <f>YEAR(Hospital_Patient[[#This Row],[Discharge_Date]])</f>
        <v>2022</v>
      </c>
    </row>
    <row r="933" spans="1:18" hidden="1" x14ac:dyDescent="0.25">
      <c r="A933">
        <v>805</v>
      </c>
      <c r="B933">
        <v>40</v>
      </c>
      <c r="C933" t="s">
        <v>22</v>
      </c>
      <c r="D933" t="s">
        <v>42</v>
      </c>
      <c r="E933" t="s">
        <v>43</v>
      </c>
      <c r="F933" s="5">
        <v>44620</v>
      </c>
      <c r="G933" s="5">
        <v>44680</v>
      </c>
      <c r="H933" t="s">
        <v>70</v>
      </c>
      <c r="I933">
        <v>2022</v>
      </c>
      <c r="J933">
        <v>60</v>
      </c>
      <c r="K933" t="s">
        <v>19</v>
      </c>
      <c r="L933" t="s">
        <v>20</v>
      </c>
      <c r="M933">
        <v>4</v>
      </c>
      <c r="N933" t="s">
        <v>21</v>
      </c>
      <c r="O933">
        <v>3000</v>
      </c>
      <c r="P933" t="str" cm="1">
        <f t="array" ref="P933">_xlfn.IFS(Hospital_Patient[[#This Row],[Age]]&lt;=18,"Young",Hospital_Patient[[#This Row],[Age]]&lt;=36,"Adult",Hospital_Patient[[#This Row],[Age]]&lt;=60,"Middle Age",Hospital_Patient[[#This Row],[Age]]&gt;60,"Senior")</f>
        <v>Middle Age</v>
      </c>
      <c r="Q933" t="str" cm="1">
        <f t="array" ref="Q93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3">
        <f>YEAR(Hospital_Patient[[#This Row],[Discharge_Date]])</f>
        <v>2022</v>
      </c>
    </row>
    <row r="934" spans="1:18" x14ac:dyDescent="0.25">
      <c r="A934">
        <v>772</v>
      </c>
      <c r="B934">
        <v>55</v>
      </c>
      <c r="C934" t="s">
        <v>15</v>
      </c>
      <c r="D934" t="s">
        <v>33</v>
      </c>
      <c r="E934" t="s">
        <v>34</v>
      </c>
      <c r="F934" s="5">
        <v>44614</v>
      </c>
      <c r="G934" s="5">
        <v>44676</v>
      </c>
      <c r="H934" t="s">
        <v>35</v>
      </c>
      <c r="I934">
        <v>2022</v>
      </c>
      <c r="J934">
        <v>62</v>
      </c>
      <c r="K934" t="s">
        <v>19</v>
      </c>
      <c r="L934" t="s">
        <v>20</v>
      </c>
      <c r="M934">
        <v>4</v>
      </c>
      <c r="N934" t="s">
        <v>19</v>
      </c>
      <c r="O934">
        <v>25000</v>
      </c>
      <c r="P934" t="str" cm="1">
        <f t="array" ref="P934">_xlfn.IFS(Hospital_Patient[[#This Row],[Age]]&lt;=18,"Young",Hospital_Patient[[#This Row],[Age]]&lt;=36,"Adult",Hospital_Patient[[#This Row],[Age]]&lt;=60,"Middle Age",Hospital_Patient[[#This Row],[Age]]&gt;60,"Senior")</f>
        <v>Middle Age</v>
      </c>
      <c r="Q934" t="str" cm="1">
        <f t="array" ref="Q93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34">
        <f>YEAR(Hospital_Patient[[#This Row],[Discharge_Date]])</f>
        <v>2022</v>
      </c>
    </row>
    <row r="935" spans="1:18" hidden="1" x14ac:dyDescent="0.25">
      <c r="A935">
        <v>523</v>
      </c>
      <c r="B935">
        <v>72</v>
      </c>
      <c r="C935" t="s">
        <v>22</v>
      </c>
      <c r="D935" t="s">
        <v>36</v>
      </c>
      <c r="E935" t="s">
        <v>37</v>
      </c>
      <c r="F935" s="5">
        <v>44636</v>
      </c>
      <c r="G935" s="5">
        <v>44674</v>
      </c>
      <c r="H935" t="s">
        <v>38</v>
      </c>
      <c r="I935">
        <v>2022</v>
      </c>
      <c r="J935">
        <v>38</v>
      </c>
      <c r="K935" t="s">
        <v>19</v>
      </c>
      <c r="L935" t="s">
        <v>26</v>
      </c>
      <c r="M935">
        <v>4</v>
      </c>
      <c r="N935" t="s">
        <v>21</v>
      </c>
      <c r="O935">
        <v>1000</v>
      </c>
      <c r="P935" t="str" cm="1">
        <f t="array" ref="P935">_xlfn.IFS(Hospital_Patient[[#This Row],[Age]]&lt;=18,"Young",Hospital_Patient[[#This Row],[Age]]&lt;=36,"Adult",Hospital_Patient[[#This Row],[Age]]&lt;=60,"Middle Age",Hospital_Patient[[#This Row],[Age]]&gt;60,"Senior")</f>
        <v>Senior</v>
      </c>
      <c r="Q935" t="str" cm="1">
        <f t="array" ref="Q93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5">
        <f>YEAR(Hospital_Patient[[#This Row],[Discharge_Date]])</f>
        <v>2022</v>
      </c>
    </row>
    <row r="936" spans="1:18" x14ac:dyDescent="0.25">
      <c r="A936">
        <v>724</v>
      </c>
      <c r="B936">
        <v>55</v>
      </c>
      <c r="C936" t="s">
        <v>15</v>
      </c>
      <c r="D936" t="s">
        <v>16</v>
      </c>
      <c r="E936" t="s">
        <v>17</v>
      </c>
      <c r="F936" s="5">
        <v>44620</v>
      </c>
      <c r="G936" s="5">
        <v>44674</v>
      </c>
      <c r="H936" t="s">
        <v>73</v>
      </c>
      <c r="I936">
        <v>2022</v>
      </c>
      <c r="J936">
        <v>54</v>
      </c>
      <c r="K936" t="s">
        <v>21</v>
      </c>
      <c r="L936" t="s">
        <v>20</v>
      </c>
      <c r="M936">
        <v>3</v>
      </c>
      <c r="N936" t="s">
        <v>21</v>
      </c>
      <c r="O936">
        <v>15000</v>
      </c>
      <c r="P936" t="str" cm="1">
        <f t="array" ref="P936">_xlfn.IFS(Hospital_Patient[[#This Row],[Age]]&lt;=18,"Young",Hospital_Patient[[#This Row],[Age]]&lt;=36,"Adult",Hospital_Patient[[#This Row],[Age]]&lt;=60,"Middle Age",Hospital_Patient[[#This Row],[Age]]&gt;60,"Senior")</f>
        <v>Middle Age</v>
      </c>
      <c r="Q936" t="str" cm="1">
        <f t="array" ref="Q93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6">
        <f>YEAR(Hospital_Patient[[#This Row],[Discharge_Date]])</f>
        <v>2022</v>
      </c>
    </row>
    <row r="937" spans="1:18" hidden="1" x14ac:dyDescent="0.25">
      <c r="A937">
        <v>779</v>
      </c>
      <c r="B937">
        <v>58</v>
      </c>
      <c r="C937" t="s">
        <v>22</v>
      </c>
      <c r="D937" t="s">
        <v>52</v>
      </c>
      <c r="E937" t="s">
        <v>53</v>
      </c>
      <c r="F937" s="5">
        <v>44612</v>
      </c>
      <c r="G937" s="5">
        <v>44673</v>
      </c>
      <c r="H937" t="s">
        <v>18</v>
      </c>
      <c r="I937">
        <v>2022</v>
      </c>
      <c r="J937">
        <v>61</v>
      </c>
      <c r="K937" t="s">
        <v>19</v>
      </c>
      <c r="L937" t="s">
        <v>20</v>
      </c>
      <c r="M937">
        <v>3</v>
      </c>
      <c r="N937" t="s">
        <v>19</v>
      </c>
      <c r="O937">
        <v>20000</v>
      </c>
      <c r="P937" t="str" cm="1">
        <f t="array" ref="P937">_xlfn.IFS(Hospital_Patient[[#This Row],[Age]]&lt;=18,"Young",Hospital_Patient[[#This Row],[Age]]&lt;=36,"Adult",Hospital_Patient[[#This Row],[Age]]&lt;=60,"Middle Age",Hospital_Patient[[#This Row],[Age]]&gt;60,"Senior")</f>
        <v>Middle Age</v>
      </c>
      <c r="Q937" t="str" cm="1">
        <f t="array" ref="Q93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37">
        <f>YEAR(Hospital_Patient[[#This Row],[Discharge_Date]])</f>
        <v>2022</v>
      </c>
    </row>
    <row r="938" spans="1:18" x14ac:dyDescent="0.25">
      <c r="A938">
        <v>920</v>
      </c>
      <c r="B938">
        <v>55</v>
      </c>
      <c r="C938" t="s">
        <v>15</v>
      </c>
      <c r="D938" t="s">
        <v>33</v>
      </c>
      <c r="E938" t="s">
        <v>34</v>
      </c>
      <c r="F938" s="5">
        <v>44600</v>
      </c>
      <c r="G938" s="5">
        <v>44672</v>
      </c>
      <c r="H938" t="s">
        <v>67</v>
      </c>
      <c r="I938">
        <v>2022</v>
      </c>
      <c r="J938">
        <v>72</v>
      </c>
      <c r="K938" t="s">
        <v>19</v>
      </c>
      <c r="L938" t="s">
        <v>20</v>
      </c>
      <c r="M938">
        <v>4</v>
      </c>
      <c r="N938" t="s">
        <v>19</v>
      </c>
      <c r="O938">
        <v>25000</v>
      </c>
      <c r="P938" t="str" cm="1">
        <f t="array" ref="P938">_xlfn.IFS(Hospital_Patient[[#This Row],[Age]]&lt;=18,"Young",Hospital_Patient[[#This Row],[Age]]&lt;=36,"Adult",Hospital_Patient[[#This Row],[Age]]&lt;=60,"Middle Age",Hospital_Patient[[#This Row],[Age]]&gt;60,"Senior")</f>
        <v>Middle Age</v>
      </c>
      <c r="Q938" t="str" cm="1">
        <f t="array" ref="Q93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38">
        <f>YEAR(Hospital_Patient[[#This Row],[Discharge_Date]])</f>
        <v>2022</v>
      </c>
    </row>
    <row r="939" spans="1:18" hidden="1" x14ac:dyDescent="0.25">
      <c r="A939">
        <v>622</v>
      </c>
      <c r="B939">
        <v>65</v>
      </c>
      <c r="C939" t="s">
        <v>22</v>
      </c>
      <c r="D939" t="s">
        <v>23</v>
      </c>
      <c r="E939" t="s">
        <v>24</v>
      </c>
      <c r="F939" s="5">
        <v>44626</v>
      </c>
      <c r="G939" s="5">
        <v>44671</v>
      </c>
      <c r="H939" t="s">
        <v>25</v>
      </c>
      <c r="I939">
        <v>2022</v>
      </c>
      <c r="J939">
        <v>45</v>
      </c>
      <c r="K939" t="s">
        <v>19</v>
      </c>
      <c r="L939" t="s">
        <v>26</v>
      </c>
      <c r="M939">
        <v>3</v>
      </c>
      <c r="N939" t="s">
        <v>19</v>
      </c>
      <c r="O939">
        <v>2000</v>
      </c>
      <c r="P939" t="str" cm="1">
        <f t="array" ref="P939">_xlfn.IFS(Hospital_Patient[[#This Row],[Age]]&lt;=18,"Young",Hospital_Patient[[#This Row],[Age]]&lt;=36,"Adult",Hospital_Patient[[#This Row],[Age]]&lt;=60,"Middle Age",Hospital_Patient[[#This Row],[Age]]&gt;60,"Senior")</f>
        <v>Senior</v>
      </c>
      <c r="Q939" t="str" cm="1">
        <f t="array" ref="Q93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39">
        <f>YEAR(Hospital_Patient[[#This Row],[Discharge_Date]])</f>
        <v>2022</v>
      </c>
    </row>
    <row r="940" spans="1:18" x14ac:dyDescent="0.25">
      <c r="A940">
        <v>214</v>
      </c>
      <c r="B940">
        <v>45</v>
      </c>
      <c r="C940" t="s">
        <v>15</v>
      </c>
      <c r="D940" t="s">
        <v>39</v>
      </c>
      <c r="E940" t="s">
        <v>40</v>
      </c>
      <c r="F940" s="5">
        <v>44651</v>
      </c>
      <c r="G940" s="5">
        <v>44669</v>
      </c>
      <c r="H940" t="s">
        <v>73</v>
      </c>
      <c r="I940">
        <v>2022</v>
      </c>
      <c r="J940">
        <v>18</v>
      </c>
      <c r="K940" t="s">
        <v>19</v>
      </c>
      <c r="L940" t="s">
        <v>20</v>
      </c>
      <c r="M940">
        <v>3</v>
      </c>
      <c r="N940" t="s">
        <v>19</v>
      </c>
      <c r="O940">
        <v>8000</v>
      </c>
      <c r="P940" t="str" cm="1">
        <f t="array" ref="P940">_xlfn.IFS(Hospital_Patient[[#This Row],[Age]]&lt;=18,"Young",Hospital_Patient[[#This Row],[Age]]&lt;=36,"Adult",Hospital_Patient[[#This Row],[Age]]&lt;=60,"Middle Age",Hospital_Patient[[#This Row],[Age]]&gt;60,"Senior")</f>
        <v>Middle Age</v>
      </c>
      <c r="Q940" t="str" cm="1">
        <f t="array" ref="Q94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40">
        <f>YEAR(Hospital_Patient[[#This Row],[Discharge_Date]])</f>
        <v>2022</v>
      </c>
    </row>
    <row r="941" spans="1:18" hidden="1" x14ac:dyDescent="0.25">
      <c r="A941">
        <v>529</v>
      </c>
      <c r="B941">
        <v>67</v>
      </c>
      <c r="C941" t="s">
        <v>22</v>
      </c>
      <c r="D941" t="s">
        <v>52</v>
      </c>
      <c r="E941" t="s">
        <v>53</v>
      </c>
      <c r="F941" s="5">
        <v>44624</v>
      </c>
      <c r="G941" s="5">
        <v>44668</v>
      </c>
      <c r="H941" t="s">
        <v>67</v>
      </c>
      <c r="I941">
        <v>2022</v>
      </c>
      <c r="J941">
        <v>44</v>
      </c>
      <c r="K941" t="s">
        <v>19</v>
      </c>
      <c r="L941" t="s">
        <v>20</v>
      </c>
      <c r="M941">
        <v>3</v>
      </c>
      <c r="N941" t="s">
        <v>19</v>
      </c>
      <c r="O941">
        <v>20000</v>
      </c>
      <c r="P941" t="str" cm="1">
        <f t="array" ref="P941">_xlfn.IFS(Hospital_Patient[[#This Row],[Age]]&lt;=18,"Young",Hospital_Patient[[#This Row],[Age]]&lt;=36,"Adult",Hospital_Patient[[#This Row],[Age]]&lt;=60,"Middle Age",Hospital_Patient[[#This Row],[Age]]&gt;60,"Senior")</f>
        <v>Senior</v>
      </c>
      <c r="Q941" t="str" cm="1">
        <f t="array" ref="Q94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41">
        <f>YEAR(Hospital_Patient[[#This Row],[Discharge_Date]])</f>
        <v>2022</v>
      </c>
    </row>
    <row r="942" spans="1:18" hidden="1" x14ac:dyDescent="0.25">
      <c r="A942">
        <v>843</v>
      </c>
      <c r="B942">
        <v>62</v>
      </c>
      <c r="C942" t="s">
        <v>22</v>
      </c>
      <c r="D942" t="s">
        <v>23</v>
      </c>
      <c r="E942" t="s">
        <v>24</v>
      </c>
      <c r="F942" s="5">
        <v>44608</v>
      </c>
      <c r="G942" s="5">
        <v>44668</v>
      </c>
      <c r="H942" t="s">
        <v>71</v>
      </c>
      <c r="I942">
        <v>2022</v>
      </c>
      <c r="J942">
        <v>60</v>
      </c>
      <c r="K942" t="s">
        <v>19</v>
      </c>
      <c r="L942" t="s">
        <v>26</v>
      </c>
      <c r="M942">
        <v>4</v>
      </c>
      <c r="N942" t="s">
        <v>19</v>
      </c>
      <c r="O942">
        <v>2000</v>
      </c>
      <c r="P942" t="str" cm="1">
        <f t="array" ref="P942">_xlfn.IFS(Hospital_Patient[[#This Row],[Age]]&lt;=18,"Young",Hospital_Patient[[#This Row],[Age]]&lt;=36,"Adult",Hospital_Patient[[#This Row],[Age]]&lt;=60,"Middle Age",Hospital_Patient[[#This Row],[Age]]&gt;60,"Senior")</f>
        <v>Senior</v>
      </c>
      <c r="Q942" t="str" cm="1">
        <f t="array" ref="Q94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42">
        <f>YEAR(Hospital_Patient[[#This Row],[Discharge_Date]])</f>
        <v>2022</v>
      </c>
    </row>
    <row r="943" spans="1:18" x14ac:dyDescent="0.25">
      <c r="A943">
        <v>817</v>
      </c>
      <c r="B943">
        <v>53</v>
      </c>
      <c r="C943" t="s">
        <v>15</v>
      </c>
      <c r="D943" t="s">
        <v>33</v>
      </c>
      <c r="E943" t="s">
        <v>34</v>
      </c>
      <c r="F943" s="5">
        <v>44601</v>
      </c>
      <c r="G943" s="5">
        <v>44666</v>
      </c>
      <c r="H943" t="s">
        <v>67</v>
      </c>
      <c r="I943">
        <v>2022</v>
      </c>
      <c r="J943">
        <v>65</v>
      </c>
      <c r="K943" t="s">
        <v>21</v>
      </c>
      <c r="L943" t="s">
        <v>20</v>
      </c>
      <c r="M943">
        <v>4</v>
      </c>
      <c r="N943" t="s">
        <v>19</v>
      </c>
      <c r="O943">
        <v>25000</v>
      </c>
      <c r="P943" t="str" cm="1">
        <f t="array" ref="P943">_xlfn.IFS(Hospital_Patient[[#This Row],[Age]]&lt;=18,"Young",Hospital_Patient[[#This Row],[Age]]&lt;=36,"Adult",Hospital_Patient[[#This Row],[Age]]&lt;=60,"Middle Age",Hospital_Patient[[#This Row],[Age]]&gt;60,"Senior")</f>
        <v>Middle Age</v>
      </c>
      <c r="Q943" t="str" cm="1">
        <f t="array" ref="Q94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43">
        <f>YEAR(Hospital_Patient[[#This Row],[Discharge_Date]])</f>
        <v>2022</v>
      </c>
    </row>
    <row r="944" spans="1:18" hidden="1" x14ac:dyDescent="0.25">
      <c r="A944">
        <v>881</v>
      </c>
      <c r="B944">
        <v>28</v>
      </c>
      <c r="C944" t="s">
        <v>22</v>
      </c>
      <c r="D944" t="s">
        <v>47</v>
      </c>
      <c r="E944" t="s">
        <v>48</v>
      </c>
      <c r="F944" s="5">
        <v>44604</v>
      </c>
      <c r="G944" s="5">
        <v>44664</v>
      </c>
      <c r="H944" t="s">
        <v>41</v>
      </c>
      <c r="I944">
        <v>2022</v>
      </c>
      <c r="J944">
        <v>60</v>
      </c>
      <c r="K944" t="s">
        <v>19</v>
      </c>
      <c r="L944" t="s">
        <v>20</v>
      </c>
      <c r="M944">
        <v>5</v>
      </c>
      <c r="N944" t="s">
        <v>19</v>
      </c>
      <c r="O944">
        <v>100</v>
      </c>
      <c r="P944" t="str" cm="1">
        <f t="array" ref="P944">_xlfn.IFS(Hospital_Patient[[#This Row],[Age]]&lt;=18,"Young",Hospital_Patient[[#This Row],[Age]]&lt;=36,"Adult",Hospital_Patient[[#This Row],[Age]]&lt;=60,"Middle Age",Hospital_Patient[[#This Row],[Age]]&gt;60,"Senior")</f>
        <v>Adult</v>
      </c>
      <c r="Q944" t="str" cm="1">
        <f t="array" ref="Q94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44">
        <f>YEAR(Hospital_Patient[[#This Row],[Discharge_Date]])</f>
        <v>2022</v>
      </c>
    </row>
    <row r="945" spans="1:18" hidden="1" x14ac:dyDescent="0.25">
      <c r="A945">
        <v>681</v>
      </c>
      <c r="B945">
        <v>65</v>
      </c>
      <c r="C945" t="s">
        <v>22</v>
      </c>
      <c r="D945" t="s">
        <v>23</v>
      </c>
      <c r="E945" t="s">
        <v>24</v>
      </c>
      <c r="F945" s="5">
        <v>44614</v>
      </c>
      <c r="G945" s="5">
        <v>44663</v>
      </c>
      <c r="H945" t="s">
        <v>71</v>
      </c>
      <c r="I945">
        <v>2022</v>
      </c>
      <c r="J945">
        <v>49</v>
      </c>
      <c r="K945" t="s">
        <v>19</v>
      </c>
      <c r="L945" t="s">
        <v>26</v>
      </c>
      <c r="M945">
        <v>3</v>
      </c>
      <c r="N945" t="s">
        <v>21</v>
      </c>
      <c r="O945">
        <v>2000</v>
      </c>
      <c r="P945" t="str" cm="1">
        <f t="array" ref="P945">_xlfn.IFS(Hospital_Patient[[#This Row],[Age]]&lt;=18,"Young",Hospital_Patient[[#This Row],[Age]]&lt;=36,"Adult",Hospital_Patient[[#This Row],[Age]]&lt;=60,"Middle Age",Hospital_Patient[[#This Row],[Age]]&gt;60,"Senior")</f>
        <v>Senior</v>
      </c>
      <c r="Q945" t="str" cm="1">
        <f t="array" ref="Q94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45">
        <f>YEAR(Hospital_Patient[[#This Row],[Discharge_Date]])</f>
        <v>2022</v>
      </c>
    </row>
    <row r="946" spans="1:18" x14ac:dyDescent="0.25">
      <c r="A946">
        <v>28</v>
      </c>
      <c r="B946">
        <v>35</v>
      </c>
      <c r="C946" t="s">
        <v>15</v>
      </c>
      <c r="D946" t="s">
        <v>54</v>
      </c>
      <c r="E946" t="s">
        <v>55</v>
      </c>
      <c r="F946" s="5">
        <v>44656</v>
      </c>
      <c r="G946" s="5">
        <v>44660</v>
      </c>
      <c r="H946" t="s">
        <v>68</v>
      </c>
      <c r="I946">
        <v>2022</v>
      </c>
      <c r="J946">
        <v>4</v>
      </c>
      <c r="K946" t="s">
        <v>19</v>
      </c>
      <c r="L946" t="s">
        <v>20</v>
      </c>
      <c r="M946">
        <v>4</v>
      </c>
      <c r="N946" t="s">
        <v>19</v>
      </c>
      <c r="O946">
        <v>12000</v>
      </c>
      <c r="P946" t="str" cm="1">
        <f t="array" ref="P946">_xlfn.IFS(Hospital_Patient[[#This Row],[Age]]&lt;=18,"Young",Hospital_Patient[[#This Row],[Age]]&lt;=36,"Adult",Hospital_Patient[[#This Row],[Age]]&lt;=60,"Middle Age",Hospital_Patient[[#This Row],[Age]]&gt;60,"Senior")</f>
        <v>Adult</v>
      </c>
      <c r="Q946" t="str" cm="1">
        <f t="array" ref="Q94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946">
        <f>YEAR(Hospital_Patient[[#This Row],[Discharge_Date]])</f>
        <v>2022</v>
      </c>
    </row>
    <row r="947" spans="1:18" hidden="1" x14ac:dyDescent="0.25">
      <c r="A947">
        <v>297</v>
      </c>
      <c r="B947">
        <v>65</v>
      </c>
      <c r="C947" t="s">
        <v>22</v>
      </c>
      <c r="D947" t="s">
        <v>23</v>
      </c>
      <c r="E947" t="s">
        <v>24</v>
      </c>
      <c r="F947" s="5">
        <v>44637</v>
      </c>
      <c r="G947" s="5">
        <v>44660</v>
      </c>
      <c r="H947" t="s">
        <v>25</v>
      </c>
      <c r="I947">
        <v>2022</v>
      </c>
      <c r="J947">
        <v>23</v>
      </c>
      <c r="K947" t="s">
        <v>19</v>
      </c>
      <c r="L947" t="s">
        <v>26</v>
      </c>
      <c r="M947">
        <v>3</v>
      </c>
      <c r="N947" t="s">
        <v>21</v>
      </c>
      <c r="O947">
        <v>2000</v>
      </c>
      <c r="P947" t="str" cm="1">
        <f t="array" ref="P947">_xlfn.IFS(Hospital_Patient[[#This Row],[Age]]&lt;=18,"Young",Hospital_Patient[[#This Row],[Age]]&lt;=36,"Adult",Hospital_Patient[[#This Row],[Age]]&lt;=60,"Middle Age",Hospital_Patient[[#This Row],[Age]]&gt;60,"Senior")</f>
        <v>Senior</v>
      </c>
      <c r="Q947" t="str" cm="1">
        <f t="array" ref="Q94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47">
        <f>YEAR(Hospital_Patient[[#This Row],[Discharge_Date]])</f>
        <v>2022</v>
      </c>
    </row>
    <row r="948" spans="1:18" hidden="1" x14ac:dyDescent="0.25">
      <c r="A948">
        <v>910</v>
      </c>
      <c r="B948">
        <v>28</v>
      </c>
      <c r="C948" t="s">
        <v>22</v>
      </c>
      <c r="D948" t="s">
        <v>47</v>
      </c>
      <c r="E948" t="s">
        <v>48</v>
      </c>
      <c r="F948" s="5">
        <v>44590</v>
      </c>
      <c r="G948" s="5">
        <v>44652</v>
      </c>
      <c r="H948" t="s">
        <v>41</v>
      </c>
      <c r="I948">
        <v>2022</v>
      </c>
      <c r="J948">
        <v>62</v>
      </c>
      <c r="K948" t="s">
        <v>19</v>
      </c>
      <c r="L948" t="s">
        <v>20</v>
      </c>
      <c r="M948">
        <v>5</v>
      </c>
      <c r="N948" t="s">
        <v>21</v>
      </c>
      <c r="O948">
        <v>100</v>
      </c>
      <c r="P948" t="str" cm="1">
        <f t="array" ref="P948">_xlfn.IFS(Hospital_Patient[[#This Row],[Age]]&lt;=18,"Young",Hospital_Patient[[#This Row],[Age]]&lt;=36,"Adult",Hospital_Patient[[#This Row],[Age]]&lt;=60,"Middle Age",Hospital_Patient[[#This Row],[Age]]&gt;60,"Senior")</f>
        <v>Adult</v>
      </c>
      <c r="Q948" t="str" cm="1">
        <f t="array" ref="Q94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48">
        <f>YEAR(Hospital_Patient[[#This Row],[Discharge_Date]])</f>
        <v>2022</v>
      </c>
    </row>
    <row r="949" spans="1:18" x14ac:dyDescent="0.25">
      <c r="A949">
        <v>481</v>
      </c>
      <c r="B949">
        <v>78</v>
      </c>
      <c r="C949" t="s">
        <v>15</v>
      </c>
      <c r="D949" t="s">
        <v>45</v>
      </c>
      <c r="E949" t="s">
        <v>46</v>
      </c>
      <c r="F949" s="5">
        <v>44611</v>
      </c>
      <c r="G949" s="5">
        <v>44651</v>
      </c>
      <c r="H949" t="s">
        <v>18</v>
      </c>
      <c r="I949">
        <v>2022</v>
      </c>
      <c r="J949">
        <v>40</v>
      </c>
      <c r="K949" t="s">
        <v>21</v>
      </c>
      <c r="L949" t="s">
        <v>26</v>
      </c>
      <c r="M949">
        <v>2</v>
      </c>
      <c r="N949" t="s">
        <v>21</v>
      </c>
      <c r="O949">
        <v>18000</v>
      </c>
      <c r="P949" t="str" cm="1">
        <f t="array" ref="P949">_xlfn.IFS(Hospital_Patient[[#This Row],[Age]]&lt;=18,"Young",Hospital_Patient[[#This Row],[Age]]&lt;=36,"Adult",Hospital_Patient[[#This Row],[Age]]&lt;=60,"Middle Age",Hospital_Patient[[#This Row],[Age]]&gt;60,"Senior")</f>
        <v>Senior</v>
      </c>
      <c r="Q949" t="str" cm="1">
        <f t="array" ref="Q94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49">
        <f>YEAR(Hospital_Patient[[#This Row],[Discharge_Date]])</f>
        <v>2022</v>
      </c>
    </row>
    <row r="950" spans="1:18" hidden="1" x14ac:dyDescent="0.25">
      <c r="A950">
        <v>373</v>
      </c>
      <c r="B950">
        <v>78</v>
      </c>
      <c r="C950" t="s">
        <v>22</v>
      </c>
      <c r="D950" t="s">
        <v>30</v>
      </c>
      <c r="E950" t="s">
        <v>31</v>
      </c>
      <c r="F950" s="5">
        <v>44616</v>
      </c>
      <c r="G950" s="5">
        <v>44649</v>
      </c>
      <c r="H950" t="s">
        <v>63</v>
      </c>
      <c r="I950">
        <v>2022</v>
      </c>
      <c r="J950">
        <v>33</v>
      </c>
      <c r="K950" t="s">
        <v>19</v>
      </c>
      <c r="L950" t="s">
        <v>26</v>
      </c>
      <c r="M950">
        <v>2</v>
      </c>
      <c r="N950" t="s">
        <v>19</v>
      </c>
      <c r="O950">
        <v>10000</v>
      </c>
      <c r="P950" t="str" cm="1">
        <f t="array" ref="P950">_xlfn.IFS(Hospital_Patient[[#This Row],[Age]]&lt;=18,"Young",Hospital_Patient[[#This Row],[Age]]&lt;=36,"Adult",Hospital_Patient[[#This Row],[Age]]&lt;=60,"Middle Age",Hospital_Patient[[#This Row],[Age]]&gt;60,"Senior")</f>
        <v>Senior</v>
      </c>
      <c r="Q950" t="str" cm="1">
        <f t="array" ref="Q95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0">
        <f>YEAR(Hospital_Patient[[#This Row],[Discharge_Date]])</f>
        <v>2022</v>
      </c>
    </row>
    <row r="951" spans="1:18" x14ac:dyDescent="0.25">
      <c r="A951">
        <v>605</v>
      </c>
      <c r="B951">
        <v>65</v>
      </c>
      <c r="C951" t="s">
        <v>15</v>
      </c>
      <c r="D951" t="s">
        <v>59</v>
      </c>
      <c r="E951" t="s">
        <v>60</v>
      </c>
      <c r="F951" s="5">
        <v>44602</v>
      </c>
      <c r="G951" s="5">
        <v>44647</v>
      </c>
      <c r="H951" t="s">
        <v>75</v>
      </c>
      <c r="I951">
        <v>2022</v>
      </c>
      <c r="J951">
        <v>45</v>
      </c>
      <c r="K951" t="s">
        <v>19</v>
      </c>
      <c r="L951" t="s">
        <v>26</v>
      </c>
      <c r="M951">
        <v>4</v>
      </c>
      <c r="N951" t="s">
        <v>21</v>
      </c>
      <c r="O951">
        <v>4000</v>
      </c>
      <c r="P951" t="str" cm="1">
        <f t="array" ref="P951">_xlfn.IFS(Hospital_Patient[[#This Row],[Age]]&lt;=18,"Young",Hospital_Patient[[#This Row],[Age]]&lt;=36,"Adult",Hospital_Patient[[#This Row],[Age]]&lt;=60,"Middle Age",Hospital_Patient[[#This Row],[Age]]&gt;60,"Senior")</f>
        <v>Senior</v>
      </c>
      <c r="Q951" t="str" cm="1">
        <f t="array" ref="Q95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1">
        <f>YEAR(Hospital_Patient[[#This Row],[Discharge_Date]])</f>
        <v>2022</v>
      </c>
    </row>
    <row r="952" spans="1:18" x14ac:dyDescent="0.25">
      <c r="A952">
        <v>330</v>
      </c>
      <c r="B952">
        <v>55</v>
      </c>
      <c r="C952" t="s">
        <v>15</v>
      </c>
      <c r="D952" t="s">
        <v>33</v>
      </c>
      <c r="E952" t="s">
        <v>34</v>
      </c>
      <c r="F952" s="5">
        <v>44614</v>
      </c>
      <c r="G952" s="5">
        <v>44646</v>
      </c>
      <c r="H952" t="s">
        <v>35</v>
      </c>
      <c r="I952">
        <v>2022</v>
      </c>
      <c r="J952">
        <v>32</v>
      </c>
      <c r="K952" t="s">
        <v>19</v>
      </c>
      <c r="L952" t="s">
        <v>20</v>
      </c>
      <c r="M952">
        <v>4</v>
      </c>
      <c r="N952" t="s">
        <v>21</v>
      </c>
      <c r="O952">
        <v>25000</v>
      </c>
      <c r="P952" t="str" cm="1">
        <f t="array" ref="P952">_xlfn.IFS(Hospital_Patient[[#This Row],[Age]]&lt;=18,"Young",Hospital_Patient[[#This Row],[Age]]&lt;=36,"Adult",Hospital_Patient[[#This Row],[Age]]&lt;=60,"Middle Age",Hospital_Patient[[#This Row],[Age]]&gt;60,"Senior")</f>
        <v>Middle Age</v>
      </c>
      <c r="Q952" t="str" cm="1">
        <f t="array" ref="Q95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2">
        <f>YEAR(Hospital_Patient[[#This Row],[Discharge_Date]])</f>
        <v>2022</v>
      </c>
    </row>
    <row r="953" spans="1:18" hidden="1" x14ac:dyDescent="0.25">
      <c r="A953">
        <v>866</v>
      </c>
      <c r="B953">
        <v>25</v>
      </c>
      <c r="C953" t="s">
        <v>22</v>
      </c>
      <c r="D953" t="s">
        <v>47</v>
      </c>
      <c r="E953" t="s">
        <v>48</v>
      </c>
      <c r="F953" s="5">
        <v>44587</v>
      </c>
      <c r="G953" s="5">
        <v>44646</v>
      </c>
      <c r="H953" t="s">
        <v>41</v>
      </c>
      <c r="I953">
        <v>2022</v>
      </c>
      <c r="J953">
        <v>59</v>
      </c>
      <c r="K953" t="s">
        <v>19</v>
      </c>
      <c r="L953" t="s">
        <v>20</v>
      </c>
      <c r="M953">
        <v>5</v>
      </c>
      <c r="N953" t="s">
        <v>21</v>
      </c>
      <c r="O953">
        <v>100</v>
      </c>
      <c r="P953" t="str" cm="1">
        <f t="array" ref="P953">_xlfn.IFS(Hospital_Patient[[#This Row],[Age]]&lt;=18,"Young",Hospital_Patient[[#This Row],[Age]]&lt;=36,"Adult",Hospital_Patient[[#This Row],[Age]]&lt;=60,"Middle Age",Hospital_Patient[[#This Row],[Age]]&gt;60,"Senior")</f>
        <v>Adult</v>
      </c>
      <c r="Q953" t="str" cm="1">
        <f t="array" ref="Q95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3">
        <f>YEAR(Hospital_Patient[[#This Row],[Discharge_Date]])</f>
        <v>2022</v>
      </c>
    </row>
    <row r="954" spans="1:18" hidden="1" x14ac:dyDescent="0.25">
      <c r="A954">
        <v>242</v>
      </c>
      <c r="B954">
        <v>68</v>
      </c>
      <c r="C954" t="s">
        <v>22</v>
      </c>
      <c r="D954" t="s">
        <v>36</v>
      </c>
      <c r="E954" t="s">
        <v>37</v>
      </c>
      <c r="F954" s="5">
        <v>44625</v>
      </c>
      <c r="G954" s="5">
        <v>44643</v>
      </c>
      <c r="H954" t="s">
        <v>38</v>
      </c>
      <c r="I954">
        <v>2022</v>
      </c>
      <c r="J954">
        <v>18</v>
      </c>
      <c r="K954" t="s">
        <v>19</v>
      </c>
      <c r="L954" t="s">
        <v>26</v>
      </c>
      <c r="M954">
        <v>4</v>
      </c>
      <c r="N954" t="s">
        <v>21</v>
      </c>
      <c r="O954">
        <v>1000</v>
      </c>
      <c r="P954" t="str" cm="1">
        <f t="array" ref="P954">_xlfn.IFS(Hospital_Patient[[#This Row],[Age]]&lt;=18,"Young",Hospital_Patient[[#This Row],[Age]]&lt;=36,"Adult",Hospital_Patient[[#This Row],[Age]]&lt;=60,"Middle Age",Hospital_Patient[[#This Row],[Age]]&gt;60,"Senior")</f>
        <v>Senior</v>
      </c>
      <c r="Q954" t="str" cm="1">
        <f t="array" ref="Q95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54">
        <f>YEAR(Hospital_Patient[[#This Row],[Discharge_Date]])</f>
        <v>2022</v>
      </c>
    </row>
    <row r="955" spans="1:18" hidden="1" x14ac:dyDescent="0.25">
      <c r="A955">
        <v>265</v>
      </c>
      <c r="B955">
        <v>50</v>
      </c>
      <c r="C955" t="s">
        <v>22</v>
      </c>
      <c r="D955" t="s">
        <v>57</v>
      </c>
      <c r="E955" t="s">
        <v>58</v>
      </c>
      <c r="F955" s="5">
        <v>44622</v>
      </c>
      <c r="G955" s="5">
        <v>44643</v>
      </c>
      <c r="H955" t="s">
        <v>51</v>
      </c>
      <c r="I955">
        <v>2022</v>
      </c>
      <c r="J955">
        <v>21</v>
      </c>
      <c r="K955" t="s">
        <v>19</v>
      </c>
      <c r="L955" t="s">
        <v>20</v>
      </c>
      <c r="M955">
        <v>3</v>
      </c>
      <c r="N955" t="s">
        <v>19</v>
      </c>
      <c r="O955">
        <v>6000</v>
      </c>
      <c r="P955" t="str" cm="1">
        <f t="array" ref="P955">_xlfn.IFS(Hospital_Patient[[#This Row],[Age]]&lt;=18,"Young",Hospital_Patient[[#This Row],[Age]]&lt;=36,"Adult",Hospital_Patient[[#This Row],[Age]]&lt;=60,"Middle Age",Hospital_Patient[[#This Row],[Age]]&gt;60,"Senior")</f>
        <v>Middle Age</v>
      </c>
      <c r="Q955" t="str" cm="1">
        <f t="array" ref="Q95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55">
        <f>YEAR(Hospital_Patient[[#This Row],[Discharge_Date]])</f>
        <v>2022</v>
      </c>
    </row>
    <row r="956" spans="1:18" x14ac:dyDescent="0.25">
      <c r="A956">
        <v>608</v>
      </c>
      <c r="B956">
        <v>35</v>
      </c>
      <c r="C956" t="s">
        <v>15</v>
      </c>
      <c r="D956" t="s">
        <v>27</v>
      </c>
      <c r="E956" t="s">
        <v>28</v>
      </c>
      <c r="F956" s="5">
        <v>44600</v>
      </c>
      <c r="G956" s="5">
        <v>44642</v>
      </c>
      <c r="H956" t="s">
        <v>29</v>
      </c>
      <c r="I956">
        <v>2022</v>
      </c>
      <c r="J956">
        <v>42</v>
      </c>
      <c r="K956" t="s">
        <v>21</v>
      </c>
      <c r="L956" t="s">
        <v>20</v>
      </c>
      <c r="M956">
        <v>5</v>
      </c>
      <c r="N956" t="s">
        <v>19</v>
      </c>
      <c r="O956">
        <v>500</v>
      </c>
      <c r="P956" t="str" cm="1">
        <f t="array" ref="P956">_xlfn.IFS(Hospital_Patient[[#This Row],[Age]]&lt;=18,"Young",Hospital_Patient[[#This Row],[Age]]&lt;=36,"Adult",Hospital_Patient[[#This Row],[Age]]&lt;=60,"Middle Age",Hospital_Patient[[#This Row],[Age]]&gt;60,"Senior")</f>
        <v>Adult</v>
      </c>
      <c r="Q956" t="str" cm="1">
        <f t="array" ref="Q95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6">
        <f>YEAR(Hospital_Patient[[#This Row],[Discharge_Date]])</f>
        <v>2022</v>
      </c>
    </row>
    <row r="957" spans="1:18" hidden="1" x14ac:dyDescent="0.25">
      <c r="A957">
        <v>552</v>
      </c>
      <c r="B957">
        <v>72</v>
      </c>
      <c r="C957" t="s">
        <v>22</v>
      </c>
      <c r="D957" t="s">
        <v>36</v>
      </c>
      <c r="E957" t="s">
        <v>37</v>
      </c>
      <c r="F957" s="5">
        <v>44600</v>
      </c>
      <c r="G957" s="5">
        <v>44641</v>
      </c>
      <c r="H957" t="s">
        <v>25</v>
      </c>
      <c r="I957">
        <v>2022</v>
      </c>
      <c r="J957">
        <v>41</v>
      </c>
      <c r="K957" t="s">
        <v>19</v>
      </c>
      <c r="L957" t="s">
        <v>26</v>
      </c>
      <c r="M957">
        <v>4</v>
      </c>
      <c r="N957" t="s">
        <v>21</v>
      </c>
      <c r="O957">
        <v>1000</v>
      </c>
      <c r="P957" t="str" cm="1">
        <f t="array" ref="P957">_xlfn.IFS(Hospital_Patient[[#This Row],[Age]]&lt;=18,"Young",Hospital_Patient[[#This Row],[Age]]&lt;=36,"Adult",Hospital_Patient[[#This Row],[Age]]&lt;=60,"Middle Age",Hospital_Patient[[#This Row],[Age]]&gt;60,"Senior")</f>
        <v>Senior</v>
      </c>
      <c r="Q957" t="str" cm="1">
        <f t="array" ref="Q95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7">
        <f>YEAR(Hospital_Patient[[#This Row],[Discharge_Date]])</f>
        <v>2022</v>
      </c>
    </row>
    <row r="958" spans="1:18" x14ac:dyDescent="0.25">
      <c r="A958">
        <v>277</v>
      </c>
      <c r="B958">
        <v>52</v>
      </c>
      <c r="C958" t="s">
        <v>15</v>
      </c>
      <c r="D958" t="s">
        <v>49</v>
      </c>
      <c r="E958" t="s">
        <v>50</v>
      </c>
      <c r="F958" s="5">
        <v>44616</v>
      </c>
      <c r="G958" s="5">
        <v>44636</v>
      </c>
      <c r="H958" t="s">
        <v>51</v>
      </c>
      <c r="I958">
        <v>2022</v>
      </c>
      <c r="J958">
        <v>20</v>
      </c>
      <c r="K958" t="s">
        <v>19</v>
      </c>
      <c r="L958" t="s">
        <v>26</v>
      </c>
      <c r="M958">
        <v>4</v>
      </c>
      <c r="N958" t="s">
        <v>19</v>
      </c>
      <c r="O958">
        <v>800</v>
      </c>
      <c r="P958" t="str" cm="1">
        <f t="array" ref="P958">_xlfn.IFS(Hospital_Patient[[#This Row],[Age]]&lt;=18,"Young",Hospital_Patient[[#This Row],[Age]]&lt;=36,"Adult",Hospital_Patient[[#This Row],[Age]]&lt;=60,"Middle Age",Hospital_Patient[[#This Row],[Age]]&gt;60,"Senior")</f>
        <v>Middle Age</v>
      </c>
      <c r="Q958" t="str" cm="1">
        <f t="array" ref="Q95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58">
        <f>YEAR(Hospital_Patient[[#This Row],[Discharge_Date]])</f>
        <v>2022</v>
      </c>
    </row>
    <row r="959" spans="1:18" x14ac:dyDescent="0.25">
      <c r="A959">
        <v>487</v>
      </c>
      <c r="B959">
        <v>65</v>
      </c>
      <c r="C959" t="s">
        <v>15</v>
      </c>
      <c r="D959" t="s">
        <v>59</v>
      </c>
      <c r="E959" t="s">
        <v>60</v>
      </c>
      <c r="F959" s="5">
        <v>44599</v>
      </c>
      <c r="G959" s="5">
        <v>44636</v>
      </c>
      <c r="H959" t="s">
        <v>73</v>
      </c>
      <c r="I959">
        <v>2022</v>
      </c>
      <c r="J959">
        <v>37</v>
      </c>
      <c r="K959" t="s">
        <v>19</v>
      </c>
      <c r="L959" t="s">
        <v>26</v>
      </c>
      <c r="M959">
        <v>4</v>
      </c>
      <c r="N959" t="s">
        <v>19</v>
      </c>
      <c r="O959">
        <v>4000</v>
      </c>
      <c r="P959" t="str" cm="1">
        <f t="array" ref="P959">_xlfn.IFS(Hospital_Patient[[#This Row],[Age]]&lt;=18,"Young",Hospital_Patient[[#This Row],[Age]]&lt;=36,"Adult",Hospital_Patient[[#This Row],[Age]]&lt;=60,"Middle Age",Hospital_Patient[[#This Row],[Age]]&gt;60,"Senior")</f>
        <v>Senior</v>
      </c>
      <c r="Q959" t="str" cm="1">
        <f t="array" ref="Q95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59">
        <f>YEAR(Hospital_Patient[[#This Row],[Discharge_Date]])</f>
        <v>2022</v>
      </c>
    </row>
    <row r="960" spans="1:18" x14ac:dyDescent="0.25">
      <c r="A960">
        <v>798</v>
      </c>
      <c r="B960">
        <v>48</v>
      </c>
      <c r="C960" t="s">
        <v>15</v>
      </c>
      <c r="D960" t="s">
        <v>16</v>
      </c>
      <c r="E960" t="s">
        <v>17</v>
      </c>
      <c r="F960" s="5">
        <v>44577</v>
      </c>
      <c r="G960" s="5">
        <v>44636</v>
      </c>
      <c r="H960" t="s">
        <v>18</v>
      </c>
      <c r="I960">
        <v>2022</v>
      </c>
      <c r="J960">
        <v>59</v>
      </c>
      <c r="K960" t="s">
        <v>21</v>
      </c>
      <c r="L960" t="s">
        <v>20</v>
      </c>
      <c r="M960">
        <v>4</v>
      </c>
      <c r="N960" t="s">
        <v>21</v>
      </c>
      <c r="O960">
        <v>15000</v>
      </c>
      <c r="P960" t="str" cm="1">
        <f t="array" ref="P960">_xlfn.IFS(Hospital_Patient[[#This Row],[Age]]&lt;=18,"Young",Hospital_Patient[[#This Row],[Age]]&lt;=36,"Adult",Hospital_Patient[[#This Row],[Age]]&lt;=60,"Middle Age",Hospital_Patient[[#This Row],[Age]]&gt;60,"Senior")</f>
        <v>Middle Age</v>
      </c>
      <c r="Q960" t="str" cm="1">
        <f t="array" ref="Q96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0">
        <f>YEAR(Hospital_Patient[[#This Row],[Discharge_Date]])</f>
        <v>2022</v>
      </c>
    </row>
    <row r="961" spans="1:18" x14ac:dyDescent="0.25">
      <c r="A961">
        <v>429</v>
      </c>
      <c r="B961">
        <v>55</v>
      </c>
      <c r="C961" t="s">
        <v>15</v>
      </c>
      <c r="D961" t="s">
        <v>16</v>
      </c>
      <c r="E961" t="s">
        <v>17</v>
      </c>
      <c r="F961" s="5">
        <v>44601</v>
      </c>
      <c r="G961" s="5">
        <v>44635</v>
      </c>
      <c r="H961" t="s">
        <v>18</v>
      </c>
      <c r="I961">
        <v>2022</v>
      </c>
      <c r="J961">
        <v>34</v>
      </c>
      <c r="K961" t="s">
        <v>21</v>
      </c>
      <c r="L961" t="s">
        <v>20</v>
      </c>
      <c r="M961">
        <v>3</v>
      </c>
      <c r="N961" t="s">
        <v>19</v>
      </c>
      <c r="O961">
        <v>15000</v>
      </c>
      <c r="P961" t="str" cm="1">
        <f t="array" ref="P961">_xlfn.IFS(Hospital_Patient[[#This Row],[Age]]&lt;=18,"Young",Hospital_Patient[[#This Row],[Age]]&lt;=36,"Adult",Hospital_Patient[[#This Row],[Age]]&lt;=60,"Middle Age",Hospital_Patient[[#This Row],[Age]]&gt;60,"Senior")</f>
        <v>Middle Age</v>
      </c>
      <c r="Q961" t="str" cm="1">
        <f t="array" ref="Q96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1">
        <f>YEAR(Hospital_Patient[[#This Row],[Discharge_Date]])</f>
        <v>2022</v>
      </c>
    </row>
    <row r="962" spans="1:18" x14ac:dyDescent="0.25">
      <c r="A962">
        <v>555</v>
      </c>
      <c r="B962">
        <v>75</v>
      </c>
      <c r="C962" t="s">
        <v>15</v>
      </c>
      <c r="D962" t="s">
        <v>45</v>
      </c>
      <c r="E962" t="s">
        <v>46</v>
      </c>
      <c r="F962" s="5">
        <v>44590</v>
      </c>
      <c r="G962" s="5">
        <v>44635</v>
      </c>
      <c r="H962" t="s">
        <v>65</v>
      </c>
      <c r="I962">
        <v>2022</v>
      </c>
      <c r="J962">
        <v>45</v>
      </c>
      <c r="K962" t="s">
        <v>21</v>
      </c>
      <c r="L962" t="s">
        <v>26</v>
      </c>
      <c r="M962">
        <v>2</v>
      </c>
      <c r="N962" t="s">
        <v>19</v>
      </c>
      <c r="O962">
        <v>18000</v>
      </c>
      <c r="P962" t="str" cm="1">
        <f t="array" ref="P962">_xlfn.IFS(Hospital_Patient[[#This Row],[Age]]&lt;=18,"Young",Hospital_Patient[[#This Row],[Age]]&lt;=36,"Adult",Hospital_Patient[[#This Row],[Age]]&lt;=60,"Middle Age",Hospital_Patient[[#This Row],[Age]]&gt;60,"Senior")</f>
        <v>Senior</v>
      </c>
      <c r="Q962" t="str" cm="1">
        <f t="array" ref="Q96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2">
        <f>YEAR(Hospital_Patient[[#This Row],[Discharge_Date]])</f>
        <v>2022</v>
      </c>
    </row>
    <row r="963" spans="1:18" x14ac:dyDescent="0.25">
      <c r="A963">
        <v>498</v>
      </c>
      <c r="B963">
        <v>52</v>
      </c>
      <c r="C963" t="s">
        <v>15</v>
      </c>
      <c r="D963" t="s">
        <v>49</v>
      </c>
      <c r="E963" t="s">
        <v>50</v>
      </c>
      <c r="F963" s="5">
        <v>44598</v>
      </c>
      <c r="G963" s="5">
        <v>44633</v>
      </c>
      <c r="H963" t="s">
        <v>66</v>
      </c>
      <c r="I963">
        <v>2022</v>
      </c>
      <c r="J963">
        <v>35</v>
      </c>
      <c r="K963" t="s">
        <v>19</v>
      </c>
      <c r="L963" t="s">
        <v>26</v>
      </c>
      <c r="M963">
        <v>4</v>
      </c>
      <c r="N963" t="s">
        <v>21</v>
      </c>
      <c r="O963">
        <v>800</v>
      </c>
      <c r="P963" t="str" cm="1">
        <f t="array" ref="P963">_xlfn.IFS(Hospital_Patient[[#This Row],[Age]]&lt;=18,"Young",Hospital_Patient[[#This Row],[Age]]&lt;=36,"Adult",Hospital_Patient[[#This Row],[Age]]&lt;=60,"Middle Age",Hospital_Patient[[#This Row],[Age]]&gt;60,"Senior")</f>
        <v>Middle Age</v>
      </c>
      <c r="Q963" t="str" cm="1">
        <f t="array" ref="Q96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3">
        <f>YEAR(Hospital_Patient[[#This Row],[Discharge_Date]])</f>
        <v>2022</v>
      </c>
    </row>
    <row r="964" spans="1:18" hidden="1" x14ac:dyDescent="0.25">
      <c r="A964">
        <v>940</v>
      </c>
      <c r="B964">
        <v>28</v>
      </c>
      <c r="C964" t="s">
        <v>22</v>
      </c>
      <c r="D964" t="s">
        <v>47</v>
      </c>
      <c r="E964" t="s">
        <v>48</v>
      </c>
      <c r="F964" s="5">
        <v>44568</v>
      </c>
      <c r="G964" s="5">
        <v>44632</v>
      </c>
      <c r="H964" t="s">
        <v>74</v>
      </c>
      <c r="I964">
        <v>2022</v>
      </c>
      <c r="J964">
        <v>64</v>
      </c>
      <c r="K964" t="s">
        <v>19</v>
      </c>
      <c r="L964" t="s">
        <v>20</v>
      </c>
      <c r="M964">
        <v>5</v>
      </c>
      <c r="N964" t="s">
        <v>19</v>
      </c>
      <c r="O964">
        <v>100</v>
      </c>
      <c r="P964" t="str" cm="1">
        <f t="array" ref="P964">_xlfn.IFS(Hospital_Patient[[#This Row],[Age]]&lt;=18,"Young",Hospital_Patient[[#This Row],[Age]]&lt;=36,"Adult",Hospital_Patient[[#This Row],[Age]]&lt;=60,"Middle Age",Hospital_Patient[[#This Row],[Age]]&gt;60,"Senior")</f>
        <v>Adult</v>
      </c>
      <c r="Q964" t="str" cm="1">
        <f t="array" ref="Q96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64">
        <f>YEAR(Hospital_Patient[[#This Row],[Discharge_Date]])</f>
        <v>2022</v>
      </c>
    </row>
    <row r="965" spans="1:18" hidden="1" x14ac:dyDescent="0.25">
      <c r="A965">
        <v>938</v>
      </c>
      <c r="B965">
        <v>45</v>
      </c>
      <c r="C965" t="s">
        <v>22</v>
      </c>
      <c r="D965" t="s">
        <v>42</v>
      </c>
      <c r="E965" t="s">
        <v>43</v>
      </c>
      <c r="F965" s="5">
        <v>44562</v>
      </c>
      <c r="G965" s="5">
        <v>44631</v>
      </c>
      <c r="H965" t="s">
        <v>44</v>
      </c>
      <c r="I965">
        <v>2022</v>
      </c>
      <c r="J965">
        <v>69</v>
      </c>
      <c r="K965" t="s">
        <v>19</v>
      </c>
      <c r="L965" t="s">
        <v>20</v>
      </c>
      <c r="M965">
        <v>4</v>
      </c>
      <c r="N965" t="s">
        <v>19</v>
      </c>
      <c r="O965">
        <v>3000</v>
      </c>
      <c r="P965" t="str" cm="1">
        <f t="array" ref="P965">_xlfn.IFS(Hospital_Patient[[#This Row],[Age]]&lt;=18,"Young",Hospital_Patient[[#This Row],[Age]]&lt;=36,"Adult",Hospital_Patient[[#This Row],[Age]]&lt;=60,"Middle Age",Hospital_Patient[[#This Row],[Age]]&gt;60,"Senior")</f>
        <v>Middle Age</v>
      </c>
      <c r="Q965" t="str" cm="1">
        <f t="array" ref="Q96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More Than 60 days</v>
      </c>
      <c r="R965">
        <f>YEAR(Hospital_Patient[[#This Row],[Discharge_Date]])</f>
        <v>2022</v>
      </c>
    </row>
    <row r="966" spans="1:18" x14ac:dyDescent="0.25">
      <c r="A966">
        <v>94</v>
      </c>
      <c r="B966">
        <v>55</v>
      </c>
      <c r="C966" t="s">
        <v>15</v>
      </c>
      <c r="D966" t="s">
        <v>33</v>
      </c>
      <c r="E966" t="s">
        <v>34</v>
      </c>
      <c r="F966" s="5">
        <v>44612</v>
      </c>
      <c r="G966" s="5">
        <v>44628</v>
      </c>
      <c r="H966" t="s">
        <v>67</v>
      </c>
      <c r="I966">
        <v>2022</v>
      </c>
      <c r="J966">
        <v>16</v>
      </c>
      <c r="K966" t="s">
        <v>19</v>
      </c>
      <c r="L966" t="s">
        <v>20</v>
      </c>
      <c r="M966">
        <v>4</v>
      </c>
      <c r="N966" t="s">
        <v>19</v>
      </c>
      <c r="O966">
        <v>25000</v>
      </c>
      <c r="P966" t="str" cm="1">
        <f t="array" ref="P966">_xlfn.IFS(Hospital_Patient[[#This Row],[Age]]&lt;=18,"Young",Hospital_Patient[[#This Row],[Age]]&lt;=36,"Adult",Hospital_Patient[[#This Row],[Age]]&lt;=60,"Middle Age",Hospital_Patient[[#This Row],[Age]]&gt;60,"Senior")</f>
        <v>Middle Age</v>
      </c>
      <c r="Q966" t="str" cm="1">
        <f t="array" ref="Q96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66">
        <f>YEAR(Hospital_Patient[[#This Row],[Discharge_Date]])</f>
        <v>2022</v>
      </c>
    </row>
    <row r="967" spans="1:18" x14ac:dyDescent="0.25">
      <c r="A967">
        <v>568</v>
      </c>
      <c r="B967">
        <v>45</v>
      </c>
      <c r="C967" t="s">
        <v>15</v>
      </c>
      <c r="D967" t="s">
        <v>39</v>
      </c>
      <c r="E967" t="s">
        <v>40</v>
      </c>
      <c r="F967" s="5">
        <v>44582</v>
      </c>
      <c r="G967" s="5">
        <v>44626</v>
      </c>
      <c r="H967" t="s">
        <v>72</v>
      </c>
      <c r="I967">
        <v>2022</v>
      </c>
      <c r="J967">
        <v>44</v>
      </c>
      <c r="K967" t="s">
        <v>19</v>
      </c>
      <c r="L967" t="s">
        <v>20</v>
      </c>
      <c r="M967">
        <v>3</v>
      </c>
      <c r="N967" t="s">
        <v>21</v>
      </c>
      <c r="O967">
        <v>8000</v>
      </c>
      <c r="P967" t="str" cm="1">
        <f t="array" ref="P967">_xlfn.IFS(Hospital_Patient[[#This Row],[Age]]&lt;=18,"Young",Hospital_Patient[[#This Row],[Age]]&lt;=36,"Adult",Hospital_Patient[[#This Row],[Age]]&lt;=60,"Middle Age",Hospital_Patient[[#This Row],[Age]]&gt;60,"Senior")</f>
        <v>Middle Age</v>
      </c>
      <c r="Q967" t="str" cm="1">
        <f t="array" ref="Q96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7">
        <f>YEAR(Hospital_Patient[[#This Row],[Discharge_Date]])</f>
        <v>2022</v>
      </c>
    </row>
    <row r="968" spans="1:18" hidden="1" x14ac:dyDescent="0.25">
      <c r="A968">
        <v>516</v>
      </c>
      <c r="B968">
        <v>55</v>
      </c>
      <c r="C968" t="s">
        <v>22</v>
      </c>
      <c r="D968" t="s">
        <v>57</v>
      </c>
      <c r="E968" t="s">
        <v>58</v>
      </c>
      <c r="F968" s="5">
        <v>44585</v>
      </c>
      <c r="G968" s="5">
        <v>44623</v>
      </c>
      <c r="H968" t="s">
        <v>77</v>
      </c>
      <c r="I968">
        <v>2022</v>
      </c>
      <c r="J968">
        <v>38</v>
      </c>
      <c r="K968" t="s">
        <v>19</v>
      </c>
      <c r="L968" t="s">
        <v>20</v>
      </c>
      <c r="M968">
        <v>3</v>
      </c>
      <c r="N968" t="s">
        <v>21</v>
      </c>
      <c r="O968">
        <v>6000</v>
      </c>
      <c r="P968" t="str" cm="1">
        <f t="array" ref="P968">_xlfn.IFS(Hospital_Patient[[#This Row],[Age]]&lt;=18,"Young",Hospital_Patient[[#This Row],[Age]]&lt;=36,"Adult",Hospital_Patient[[#This Row],[Age]]&lt;=60,"Middle Age",Hospital_Patient[[#This Row],[Age]]&gt;60,"Senior")</f>
        <v>Middle Age</v>
      </c>
      <c r="Q968" t="str" cm="1">
        <f t="array" ref="Q96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8">
        <f>YEAR(Hospital_Patient[[#This Row],[Discharge_Date]])</f>
        <v>2022</v>
      </c>
    </row>
    <row r="969" spans="1:18" hidden="1" x14ac:dyDescent="0.25">
      <c r="A969">
        <v>720</v>
      </c>
      <c r="B969">
        <v>58</v>
      </c>
      <c r="C969" t="s">
        <v>22</v>
      </c>
      <c r="D969" t="s">
        <v>52</v>
      </c>
      <c r="E969" t="s">
        <v>53</v>
      </c>
      <c r="F969" s="5">
        <v>44563</v>
      </c>
      <c r="G969" s="5">
        <v>44620</v>
      </c>
      <c r="H969" t="s">
        <v>67</v>
      </c>
      <c r="I969">
        <v>2022</v>
      </c>
      <c r="J969">
        <v>57</v>
      </c>
      <c r="K969" t="s">
        <v>19</v>
      </c>
      <c r="L969" t="s">
        <v>20</v>
      </c>
      <c r="M969">
        <v>3</v>
      </c>
      <c r="N969" t="s">
        <v>19</v>
      </c>
      <c r="O969">
        <v>20000</v>
      </c>
      <c r="P969" t="str" cm="1">
        <f t="array" ref="P969">_xlfn.IFS(Hospital_Patient[[#This Row],[Age]]&lt;=18,"Young",Hospital_Patient[[#This Row],[Age]]&lt;=36,"Adult",Hospital_Patient[[#This Row],[Age]]&lt;=60,"Middle Age",Hospital_Patient[[#This Row],[Age]]&gt;60,"Senior")</f>
        <v>Middle Age</v>
      </c>
      <c r="Q969" t="str" cm="1">
        <f t="array" ref="Q96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69">
        <f>YEAR(Hospital_Patient[[#This Row],[Discharge_Date]])</f>
        <v>2022</v>
      </c>
    </row>
    <row r="970" spans="1:18" x14ac:dyDescent="0.25">
      <c r="A970">
        <v>313</v>
      </c>
      <c r="B970">
        <v>35</v>
      </c>
      <c r="C970" t="s">
        <v>15</v>
      </c>
      <c r="D970" t="s">
        <v>27</v>
      </c>
      <c r="E970" t="s">
        <v>28</v>
      </c>
      <c r="F970" s="5">
        <v>44597</v>
      </c>
      <c r="G970" s="5">
        <v>44619</v>
      </c>
      <c r="H970" t="s">
        <v>77</v>
      </c>
      <c r="I970">
        <v>2022</v>
      </c>
      <c r="J970">
        <v>22</v>
      </c>
      <c r="K970" t="s">
        <v>21</v>
      </c>
      <c r="L970" t="s">
        <v>20</v>
      </c>
      <c r="M970">
        <v>5</v>
      </c>
      <c r="N970" t="s">
        <v>19</v>
      </c>
      <c r="O970">
        <v>500</v>
      </c>
      <c r="P970" t="str" cm="1">
        <f t="array" ref="P970">_xlfn.IFS(Hospital_Patient[[#This Row],[Age]]&lt;=18,"Young",Hospital_Patient[[#This Row],[Age]]&lt;=36,"Adult",Hospital_Patient[[#This Row],[Age]]&lt;=60,"Middle Age",Hospital_Patient[[#This Row],[Age]]&gt;60,"Senior")</f>
        <v>Adult</v>
      </c>
      <c r="Q970" t="str" cm="1">
        <f t="array" ref="Q97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70">
        <f>YEAR(Hospital_Patient[[#This Row],[Discharge_Date]])</f>
        <v>2022</v>
      </c>
    </row>
    <row r="971" spans="1:18" hidden="1" x14ac:dyDescent="0.25">
      <c r="A971">
        <v>331</v>
      </c>
      <c r="B971">
        <v>68</v>
      </c>
      <c r="C971" t="s">
        <v>22</v>
      </c>
      <c r="D971" t="s">
        <v>36</v>
      </c>
      <c r="E971" t="s">
        <v>37</v>
      </c>
      <c r="F971" s="5">
        <v>44594</v>
      </c>
      <c r="G971" s="5">
        <v>44618</v>
      </c>
      <c r="H971" t="s">
        <v>38</v>
      </c>
      <c r="I971">
        <v>2022</v>
      </c>
      <c r="J971">
        <v>24</v>
      </c>
      <c r="K971" t="s">
        <v>19</v>
      </c>
      <c r="L971" t="s">
        <v>26</v>
      </c>
      <c r="M971">
        <v>4</v>
      </c>
      <c r="N971" t="s">
        <v>21</v>
      </c>
      <c r="O971">
        <v>1000</v>
      </c>
      <c r="P971" t="str" cm="1">
        <f t="array" ref="P971">_xlfn.IFS(Hospital_Patient[[#This Row],[Age]]&lt;=18,"Young",Hospital_Patient[[#This Row],[Age]]&lt;=36,"Adult",Hospital_Patient[[#This Row],[Age]]&lt;=60,"Middle Age",Hospital_Patient[[#This Row],[Age]]&gt;60,"Senior")</f>
        <v>Senior</v>
      </c>
      <c r="Q971" t="str" cm="1">
        <f t="array" ref="Q97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71">
        <f>YEAR(Hospital_Patient[[#This Row],[Discharge_Date]])</f>
        <v>2022</v>
      </c>
    </row>
    <row r="972" spans="1:18" hidden="1" x14ac:dyDescent="0.25">
      <c r="A972">
        <v>407</v>
      </c>
      <c r="B972">
        <v>45</v>
      </c>
      <c r="C972" t="s">
        <v>22</v>
      </c>
      <c r="D972" t="s">
        <v>42</v>
      </c>
      <c r="E972" t="s">
        <v>43</v>
      </c>
      <c r="F972" s="5">
        <v>44585</v>
      </c>
      <c r="G972" s="5">
        <v>44618</v>
      </c>
      <c r="H972" t="s">
        <v>71</v>
      </c>
      <c r="I972">
        <v>2022</v>
      </c>
      <c r="J972">
        <v>33</v>
      </c>
      <c r="K972" t="s">
        <v>19</v>
      </c>
      <c r="L972" t="s">
        <v>20</v>
      </c>
      <c r="M972">
        <v>4</v>
      </c>
      <c r="N972" t="s">
        <v>21</v>
      </c>
      <c r="O972">
        <v>3000</v>
      </c>
      <c r="P972" t="str" cm="1">
        <f t="array" ref="P972">_xlfn.IFS(Hospital_Patient[[#This Row],[Age]]&lt;=18,"Young",Hospital_Patient[[#This Row],[Age]]&lt;=36,"Adult",Hospital_Patient[[#This Row],[Age]]&lt;=60,"Middle Age",Hospital_Patient[[#This Row],[Age]]&gt;60,"Senior")</f>
        <v>Middle Age</v>
      </c>
      <c r="Q972" t="str" cm="1">
        <f t="array" ref="Q97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72">
        <f>YEAR(Hospital_Patient[[#This Row],[Discharge_Date]])</f>
        <v>2022</v>
      </c>
    </row>
    <row r="973" spans="1:18" hidden="1" x14ac:dyDescent="0.25">
      <c r="A973">
        <v>554</v>
      </c>
      <c r="B973">
        <v>45</v>
      </c>
      <c r="C973" t="s">
        <v>22</v>
      </c>
      <c r="D973" t="s">
        <v>42</v>
      </c>
      <c r="E973" t="s">
        <v>43</v>
      </c>
      <c r="F973" s="5">
        <v>44575</v>
      </c>
      <c r="G973" s="5">
        <v>44618</v>
      </c>
      <c r="H973" t="s">
        <v>70</v>
      </c>
      <c r="I973">
        <v>2022</v>
      </c>
      <c r="J973">
        <v>43</v>
      </c>
      <c r="K973" t="s">
        <v>19</v>
      </c>
      <c r="L973" t="s">
        <v>20</v>
      </c>
      <c r="M973">
        <v>4</v>
      </c>
      <c r="N973" t="s">
        <v>19</v>
      </c>
      <c r="O973">
        <v>3000</v>
      </c>
      <c r="P973" t="str" cm="1">
        <f t="array" ref="P973">_xlfn.IFS(Hospital_Patient[[#This Row],[Age]]&lt;=18,"Young",Hospital_Patient[[#This Row],[Age]]&lt;=36,"Adult",Hospital_Patient[[#This Row],[Age]]&lt;=60,"Middle Age",Hospital_Patient[[#This Row],[Age]]&gt;60,"Senior")</f>
        <v>Middle Age</v>
      </c>
      <c r="Q973" t="str" cm="1">
        <f t="array" ref="Q97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73">
        <f>YEAR(Hospital_Patient[[#This Row],[Discharge_Date]])</f>
        <v>2022</v>
      </c>
    </row>
    <row r="974" spans="1:18" x14ac:dyDescent="0.25">
      <c r="A974">
        <v>77</v>
      </c>
      <c r="B974">
        <v>35</v>
      </c>
      <c r="C974" t="s">
        <v>15</v>
      </c>
      <c r="D974" t="s">
        <v>27</v>
      </c>
      <c r="E974" t="s">
        <v>28</v>
      </c>
      <c r="F974" s="5">
        <v>44611</v>
      </c>
      <c r="G974" s="5">
        <v>44617</v>
      </c>
      <c r="H974" t="s">
        <v>70</v>
      </c>
      <c r="I974">
        <v>2022</v>
      </c>
      <c r="J974">
        <v>6</v>
      </c>
      <c r="K974" t="s">
        <v>21</v>
      </c>
      <c r="L974" t="s">
        <v>20</v>
      </c>
      <c r="M974">
        <v>5</v>
      </c>
      <c r="N974" t="s">
        <v>21</v>
      </c>
      <c r="O974">
        <v>500</v>
      </c>
      <c r="P974" t="str" cm="1">
        <f t="array" ref="P974">_xlfn.IFS(Hospital_Patient[[#This Row],[Age]]&lt;=18,"Young",Hospital_Patient[[#This Row],[Age]]&lt;=36,"Adult",Hospital_Patient[[#This Row],[Age]]&lt;=60,"Middle Age",Hospital_Patient[[#This Row],[Age]]&gt;60,"Senior")</f>
        <v>Adult</v>
      </c>
      <c r="Q974" t="str" cm="1">
        <f t="array" ref="Q97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974">
        <f>YEAR(Hospital_Patient[[#This Row],[Discharge_Date]])</f>
        <v>2022</v>
      </c>
    </row>
    <row r="975" spans="1:18" x14ac:dyDescent="0.25">
      <c r="A975">
        <v>54</v>
      </c>
      <c r="B975">
        <v>75</v>
      </c>
      <c r="C975" t="s">
        <v>15</v>
      </c>
      <c r="D975" t="s">
        <v>45</v>
      </c>
      <c r="E975" t="s">
        <v>46</v>
      </c>
      <c r="F975" s="5">
        <v>44603</v>
      </c>
      <c r="G975" s="5">
        <v>44614</v>
      </c>
      <c r="H975" t="s">
        <v>18</v>
      </c>
      <c r="I975">
        <v>2022</v>
      </c>
      <c r="J975">
        <v>11</v>
      </c>
      <c r="K975" t="s">
        <v>21</v>
      </c>
      <c r="L975" t="s">
        <v>26</v>
      </c>
      <c r="M975">
        <v>2</v>
      </c>
      <c r="N975" t="s">
        <v>19</v>
      </c>
      <c r="O975">
        <v>18000</v>
      </c>
      <c r="P975" t="str" cm="1">
        <f t="array" ref="P975">_xlfn.IFS(Hospital_Patient[[#This Row],[Age]]&lt;=18,"Young",Hospital_Patient[[#This Row],[Age]]&lt;=36,"Adult",Hospital_Patient[[#This Row],[Age]]&lt;=60,"Middle Age",Hospital_Patient[[#This Row],[Age]]&gt;60,"Senior")</f>
        <v>Senior</v>
      </c>
      <c r="Q975" t="str" cm="1">
        <f t="array" ref="Q97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75">
        <f>YEAR(Hospital_Patient[[#This Row],[Discharge_Date]])</f>
        <v>2022</v>
      </c>
    </row>
    <row r="976" spans="1:18" hidden="1" x14ac:dyDescent="0.25">
      <c r="A976">
        <v>183</v>
      </c>
      <c r="B976">
        <v>68</v>
      </c>
      <c r="C976" t="s">
        <v>22</v>
      </c>
      <c r="D976" t="s">
        <v>36</v>
      </c>
      <c r="E976" t="s">
        <v>37</v>
      </c>
      <c r="F976" s="5">
        <v>44599</v>
      </c>
      <c r="G976" s="5">
        <v>44613</v>
      </c>
      <c r="H976" t="s">
        <v>18</v>
      </c>
      <c r="I976">
        <v>2022</v>
      </c>
      <c r="J976">
        <v>14</v>
      </c>
      <c r="K976" t="s">
        <v>19</v>
      </c>
      <c r="L976" t="s">
        <v>26</v>
      </c>
      <c r="M976">
        <v>4</v>
      </c>
      <c r="N976" t="s">
        <v>19</v>
      </c>
      <c r="O976">
        <v>1000</v>
      </c>
      <c r="P976" t="str" cm="1">
        <f t="array" ref="P976">_xlfn.IFS(Hospital_Patient[[#This Row],[Age]]&lt;=18,"Young",Hospital_Patient[[#This Row],[Age]]&lt;=36,"Adult",Hospital_Patient[[#This Row],[Age]]&lt;=60,"Middle Age",Hospital_Patient[[#This Row],[Age]]&gt;60,"Senior")</f>
        <v>Senior</v>
      </c>
      <c r="Q976" t="str" cm="1">
        <f t="array" ref="Q976">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76">
        <f>YEAR(Hospital_Patient[[#This Row],[Discharge_Date]])</f>
        <v>2022</v>
      </c>
    </row>
    <row r="977" spans="1:18" x14ac:dyDescent="0.25">
      <c r="A977">
        <v>446</v>
      </c>
      <c r="B977">
        <v>30</v>
      </c>
      <c r="C977" t="s">
        <v>15</v>
      </c>
      <c r="D977" t="s">
        <v>27</v>
      </c>
      <c r="E977" t="s">
        <v>28</v>
      </c>
      <c r="F977" s="5">
        <v>44575</v>
      </c>
      <c r="G977" s="5">
        <v>44606</v>
      </c>
      <c r="H977" t="s">
        <v>70</v>
      </c>
      <c r="I977">
        <v>2022</v>
      </c>
      <c r="J977">
        <v>31</v>
      </c>
      <c r="K977" t="s">
        <v>19</v>
      </c>
      <c r="L977" t="s">
        <v>20</v>
      </c>
      <c r="M977">
        <v>5</v>
      </c>
      <c r="N977" t="s">
        <v>21</v>
      </c>
      <c r="O977">
        <v>500</v>
      </c>
      <c r="P977" t="str" cm="1">
        <f t="array" ref="P977">_xlfn.IFS(Hospital_Patient[[#This Row],[Age]]&lt;=18,"Young",Hospital_Patient[[#This Row],[Age]]&lt;=36,"Adult",Hospital_Patient[[#This Row],[Age]]&lt;=60,"Middle Age",Hospital_Patient[[#This Row],[Age]]&gt;60,"Senior")</f>
        <v>Adult</v>
      </c>
      <c r="Q977" t="str" cm="1">
        <f t="array" ref="Q977">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31 to 60 days</v>
      </c>
      <c r="R977">
        <f>YEAR(Hospital_Patient[[#This Row],[Discharge_Date]])</f>
        <v>2022</v>
      </c>
    </row>
    <row r="978" spans="1:18" x14ac:dyDescent="0.25">
      <c r="A978">
        <v>355</v>
      </c>
      <c r="B978">
        <v>48</v>
      </c>
      <c r="C978" t="s">
        <v>15</v>
      </c>
      <c r="D978" t="s">
        <v>16</v>
      </c>
      <c r="E978" t="s">
        <v>17</v>
      </c>
      <c r="F978" s="5">
        <v>44574</v>
      </c>
      <c r="G978" s="5">
        <v>44603</v>
      </c>
      <c r="H978" t="s">
        <v>73</v>
      </c>
      <c r="I978">
        <v>2022</v>
      </c>
      <c r="J978">
        <v>29</v>
      </c>
      <c r="K978" t="s">
        <v>21</v>
      </c>
      <c r="L978" t="s">
        <v>20</v>
      </c>
      <c r="M978">
        <v>4</v>
      </c>
      <c r="N978" t="s">
        <v>19</v>
      </c>
      <c r="O978">
        <v>15000</v>
      </c>
      <c r="P978" t="str" cm="1">
        <f t="array" ref="P978">_xlfn.IFS(Hospital_Patient[[#This Row],[Age]]&lt;=18,"Young",Hospital_Patient[[#This Row],[Age]]&lt;=36,"Adult",Hospital_Patient[[#This Row],[Age]]&lt;=60,"Middle Age",Hospital_Patient[[#This Row],[Age]]&gt;60,"Senior")</f>
        <v>Middle Age</v>
      </c>
      <c r="Q978" t="str" cm="1">
        <f t="array" ref="Q978">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78">
        <f>YEAR(Hospital_Patient[[#This Row],[Discharge_Date]])</f>
        <v>2022</v>
      </c>
    </row>
    <row r="979" spans="1:18" hidden="1" x14ac:dyDescent="0.25">
      <c r="A979">
        <v>124</v>
      </c>
      <c r="B979">
        <v>68</v>
      </c>
      <c r="C979" t="s">
        <v>22</v>
      </c>
      <c r="D979" t="s">
        <v>36</v>
      </c>
      <c r="E979" t="s">
        <v>37</v>
      </c>
      <c r="F979" s="5">
        <v>44592</v>
      </c>
      <c r="G979" s="5">
        <v>44602</v>
      </c>
      <c r="H979" t="s">
        <v>25</v>
      </c>
      <c r="I979">
        <v>2022</v>
      </c>
      <c r="J979">
        <v>10</v>
      </c>
      <c r="K979" t="s">
        <v>19</v>
      </c>
      <c r="L979" t="s">
        <v>26</v>
      </c>
      <c r="M979">
        <v>4</v>
      </c>
      <c r="N979" t="s">
        <v>21</v>
      </c>
      <c r="O979">
        <v>1000</v>
      </c>
      <c r="P979" t="str" cm="1">
        <f t="array" ref="P979">_xlfn.IFS(Hospital_Patient[[#This Row],[Age]]&lt;=18,"Young",Hospital_Patient[[#This Row],[Age]]&lt;=36,"Adult",Hospital_Patient[[#This Row],[Age]]&lt;=60,"Middle Age",Hospital_Patient[[#This Row],[Age]]&gt;60,"Senior")</f>
        <v>Senior</v>
      </c>
      <c r="Q979" t="str" cm="1">
        <f t="array" ref="Q979">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79">
        <f>YEAR(Hospital_Patient[[#This Row],[Discharge_Date]])</f>
        <v>2022</v>
      </c>
    </row>
    <row r="980" spans="1:18" hidden="1" x14ac:dyDescent="0.25">
      <c r="A980">
        <v>289</v>
      </c>
      <c r="B980">
        <v>45</v>
      </c>
      <c r="C980" t="s">
        <v>22</v>
      </c>
      <c r="D980" t="s">
        <v>42</v>
      </c>
      <c r="E980" t="s">
        <v>43</v>
      </c>
      <c r="F980" s="5">
        <v>44568</v>
      </c>
      <c r="G980" s="5">
        <v>44593</v>
      </c>
      <c r="H980" t="s">
        <v>44</v>
      </c>
      <c r="I980">
        <v>2022</v>
      </c>
      <c r="J980">
        <v>25</v>
      </c>
      <c r="K980" t="s">
        <v>19</v>
      </c>
      <c r="L980" t="s">
        <v>20</v>
      </c>
      <c r="M980">
        <v>4</v>
      </c>
      <c r="N980" t="s">
        <v>21</v>
      </c>
      <c r="O980">
        <v>3000</v>
      </c>
      <c r="P980" t="str" cm="1">
        <f t="array" ref="P980">_xlfn.IFS(Hospital_Patient[[#This Row],[Age]]&lt;=18,"Young",Hospital_Patient[[#This Row],[Age]]&lt;=36,"Adult",Hospital_Patient[[#This Row],[Age]]&lt;=60,"Middle Age",Hospital_Patient[[#This Row],[Age]]&gt;60,"Senior")</f>
        <v>Middle Age</v>
      </c>
      <c r="Q980" t="str" cm="1">
        <f t="array" ref="Q980">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80">
        <f>YEAR(Hospital_Patient[[#This Row],[Discharge_Date]])</f>
        <v>2022</v>
      </c>
    </row>
    <row r="981" spans="1:18" x14ac:dyDescent="0.25">
      <c r="A981">
        <v>66</v>
      </c>
      <c r="B981">
        <v>45</v>
      </c>
      <c r="C981" t="s">
        <v>15</v>
      </c>
      <c r="D981" t="s">
        <v>39</v>
      </c>
      <c r="E981" t="s">
        <v>40</v>
      </c>
      <c r="F981" s="5">
        <v>44580</v>
      </c>
      <c r="G981" s="5">
        <v>44588</v>
      </c>
      <c r="H981" t="s">
        <v>18</v>
      </c>
      <c r="I981">
        <v>2022</v>
      </c>
      <c r="J981">
        <v>8</v>
      </c>
      <c r="K981" t="s">
        <v>19</v>
      </c>
      <c r="L981" t="s">
        <v>20</v>
      </c>
      <c r="M981">
        <v>3</v>
      </c>
      <c r="N981" t="s">
        <v>19</v>
      </c>
      <c r="O981">
        <v>8000</v>
      </c>
      <c r="P981" t="str" cm="1">
        <f t="array" ref="P981">_xlfn.IFS(Hospital_Patient[[#This Row],[Age]]&lt;=18,"Young",Hospital_Patient[[#This Row],[Age]]&lt;=36,"Adult",Hospital_Patient[[#This Row],[Age]]&lt;=60,"Middle Age",Hospital_Patient[[#This Row],[Age]]&gt;60,"Senior")</f>
        <v>Middle Age</v>
      </c>
      <c r="Q981" t="str" cm="1">
        <f t="array" ref="Q981">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81">
        <f>YEAR(Hospital_Patient[[#This Row],[Discharge_Date]])</f>
        <v>2022</v>
      </c>
    </row>
    <row r="982" spans="1:18" x14ac:dyDescent="0.25">
      <c r="A982">
        <v>269</v>
      </c>
      <c r="B982">
        <v>30</v>
      </c>
      <c r="C982" t="s">
        <v>15</v>
      </c>
      <c r="D982" t="s">
        <v>27</v>
      </c>
      <c r="E982" t="s">
        <v>28</v>
      </c>
      <c r="F982" s="5">
        <v>44569</v>
      </c>
      <c r="G982" s="5">
        <v>44588</v>
      </c>
      <c r="H982" t="s">
        <v>70</v>
      </c>
      <c r="I982">
        <v>2022</v>
      </c>
      <c r="J982">
        <v>19</v>
      </c>
      <c r="K982" t="s">
        <v>19</v>
      </c>
      <c r="L982" t="s">
        <v>20</v>
      </c>
      <c r="M982">
        <v>5</v>
      </c>
      <c r="N982" t="s">
        <v>19</v>
      </c>
      <c r="O982">
        <v>500</v>
      </c>
      <c r="P982" t="str" cm="1">
        <f t="array" ref="P982">_xlfn.IFS(Hospital_Patient[[#This Row],[Age]]&lt;=18,"Young",Hospital_Patient[[#This Row],[Age]]&lt;=36,"Adult",Hospital_Patient[[#This Row],[Age]]&lt;=60,"Middle Age",Hospital_Patient[[#This Row],[Age]]&gt;60,"Senior")</f>
        <v>Adult</v>
      </c>
      <c r="Q982" t="str" cm="1">
        <f t="array" ref="Q982">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15 to 30 days</v>
      </c>
      <c r="R982">
        <f>YEAR(Hospital_Patient[[#This Row],[Discharge_Date]])</f>
        <v>2022</v>
      </c>
    </row>
    <row r="983" spans="1:18" x14ac:dyDescent="0.25">
      <c r="A983">
        <v>22</v>
      </c>
      <c r="B983">
        <v>60</v>
      </c>
      <c r="C983" t="s">
        <v>15</v>
      </c>
      <c r="D983" t="s">
        <v>39</v>
      </c>
      <c r="E983" t="s">
        <v>40</v>
      </c>
      <c r="F983" s="5">
        <v>44578</v>
      </c>
      <c r="G983" s="5">
        <v>44583</v>
      </c>
      <c r="H983" t="s">
        <v>18</v>
      </c>
      <c r="I983">
        <v>2022</v>
      </c>
      <c r="J983">
        <v>5</v>
      </c>
      <c r="K983" t="s">
        <v>21</v>
      </c>
      <c r="L983" t="s">
        <v>20</v>
      </c>
      <c r="M983">
        <v>3</v>
      </c>
      <c r="N983" t="s">
        <v>19</v>
      </c>
      <c r="O983">
        <v>8000</v>
      </c>
      <c r="P983" t="str" cm="1">
        <f t="array" ref="P983">_xlfn.IFS(Hospital_Patient[[#This Row],[Age]]&lt;=18,"Young",Hospital_Patient[[#This Row],[Age]]&lt;=36,"Adult",Hospital_Patient[[#This Row],[Age]]&lt;=60,"Middle Age",Hospital_Patient[[#This Row],[Age]]&gt;60,"Senior")</f>
        <v>Middle Age</v>
      </c>
      <c r="Q983" t="str" cm="1">
        <f t="array" ref="Q983">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983">
        <f>YEAR(Hospital_Patient[[#This Row],[Discharge_Date]])</f>
        <v>2022</v>
      </c>
    </row>
    <row r="984" spans="1:18" hidden="1" x14ac:dyDescent="0.25">
      <c r="A984">
        <v>80</v>
      </c>
      <c r="B984">
        <v>72</v>
      </c>
      <c r="C984" t="s">
        <v>22</v>
      </c>
      <c r="D984" t="s">
        <v>36</v>
      </c>
      <c r="E984" t="s">
        <v>37</v>
      </c>
      <c r="F984" s="5">
        <v>44568</v>
      </c>
      <c r="G984" s="5">
        <v>44575</v>
      </c>
      <c r="H984" t="s">
        <v>18</v>
      </c>
      <c r="I984">
        <v>2022</v>
      </c>
      <c r="J984">
        <v>7</v>
      </c>
      <c r="K984" t="s">
        <v>19</v>
      </c>
      <c r="L984" t="s">
        <v>26</v>
      </c>
      <c r="M984">
        <v>4</v>
      </c>
      <c r="N984" t="s">
        <v>21</v>
      </c>
      <c r="O984">
        <v>1000</v>
      </c>
      <c r="P984" t="str" cm="1">
        <f t="array" ref="P984">_xlfn.IFS(Hospital_Patient[[#This Row],[Age]]&lt;=18,"Young",Hospital_Patient[[#This Row],[Age]]&lt;=36,"Adult",Hospital_Patient[[#This Row],[Age]]&lt;=60,"Middle Age",Hospital_Patient[[#This Row],[Age]]&gt;60,"Senior")</f>
        <v>Senior</v>
      </c>
      <c r="Q984" t="str" cm="1">
        <f t="array" ref="Q984">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0 to 7 days</v>
      </c>
      <c r="R984">
        <f>YEAR(Hospital_Patient[[#This Row],[Discharge_Date]])</f>
        <v>2022</v>
      </c>
    </row>
    <row r="985" spans="1:18" x14ac:dyDescent="0.25">
      <c r="A985">
        <v>129</v>
      </c>
      <c r="B985">
        <v>52</v>
      </c>
      <c r="C985" t="s">
        <v>15</v>
      </c>
      <c r="D985" t="s">
        <v>49</v>
      </c>
      <c r="E985" t="s">
        <v>50</v>
      </c>
      <c r="F985" s="5">
        <v>44562</v>
      </c>
      <c r="G985" s="5">
        <v>44572</v>
      </c>
      <c r="H985" t="s">
        <v>66</v>
      </c>
      <c r="I985">
        <v>2022</v>
      </c>
      <c r="J985">
        <v>10</v>
      </c>
      <c r="K985" t="s">
        <v>19</v>
      </c>
      <c r="L985" t="s">
        <v>26</v>
      </c>
      <c r="M985">
        <v>4</v>
      </c>
      <c r="N985" t="s">
        <v>19</v>
      </c>
      <c r="O985">
        <v>800</v>
      </c>
      <c r="P985" t="str" cm="1">
        <f t="array" ref="P985">_xlfn.IFS(Hospital_Patient[[#This Row],[Age]]&lt;=18,"Young",Hospital_Patient[[#This Row],[Age]]&lt;=36,"Adult",Hospital_Patient[[#This Row],[Age]]&lt;=60,"Middle Age",Hospital_Patient[[#This Row],[Age]]&gt;60,"Senior")</f>
        <v>Middle Age</v>
      </c>
      <c r="Q985" t="str" cm="1">
        <f t="array" ref="Q985">_xlfn.IFS(Hospital_Patient[[#This Row],[Length_of_Stay]]&lt;=7,"0 to 7 days",Hospital_Patient[[#This Row],[Length_of_Stay]]&lt;=14,"8 to 14 days",Hospital_Patient[[#This Row],[Length_of_Stay]]&lt;=30,"15 to 30 days",Hospital_Patient[[#This Row],[Length_of_Stay]]&lt;=60,"31 to 60 days",Hospital_Patient[[#This Row],[Length_of_Stay]]&gt;60,"More Than 60 days")</f>
        <v>8 to 14 days</v>
      </c>
      <c r="R985">
        <f>YEAR(Hospital_Patient[[#This Row],[Discharge_Date]])</f>
        <v>2022</v>
      </c>
    </row>
    <row r="987" spans="1:18" x14ac:dyDescent="0.25">
      <c r="K987" s="10">
        <f>COUNTIF(Hospital_Patient[Readmission],"Yes")/C989</f>
        <v>0.26829268292682928</v>
      </c>
      <c r="L987" s="10">
        <f>COUNTIF(Hospital_Patient[Outcome],"Recovered")/C989</f>
        <v>0.60060975609756095</v>
      </c>
      <c r="N987" s="9">
        <f>COUNTIF(Hospital_Patient[Insurance_Claimed],"Yes")</f>
        <v>351</v>
      </c>
    </row>
    <row r="988" spans="1:18" x14ac:dyDescent="0.25">
      <c r="O988" s="11">
        <f>SUM(Hospital_Patient[Total_Cost])</f>
        <v>8233600</v>
      </c>
    </row>
    <row r="989" spans="1:18" x14ac:dyDescent="0.25">
      <c r="C989" s="9">
        <f>COUNTA(Hospital_Patient[Patient_ID])</f>
        <v>984</v>
      </c>
    </row>
    <row r="991" spans="1:18" x14ac:dyDescent="0.25">
      <c r="M991" s="12">
        <f>AVERAGE(Hospital_Patient[Satisfaction])</f>
        <v>3.5985772357723578</v>
      </c>
    </row>
    <row r="992" spans="1:18" x14ac:dyDescent="0.25">
      <c r="M992" s="9">
        <f>M993-M991</f>
        <v>1.4014227642276422</v>
      </c>
    </row>
    <row r="993" spans="13:13" x14ac:dyDescent="0.25">
      <c r="M993" s="9">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3141-244B-4D0A-9A6F-CB7B4B11A2C0}">
  <dimension ref="A3:V33"/>
  <sheetViews>
    <sheetView topLeftCell="F1" zoomScale="112" workbookViewId="0">
      <selection activeCell="D18" sqref="D18"/>
    </sheetView>
  </sheetViews>
  <sheetFormatPr defaultRowHeight="15" x14ac:dyDescent="0.25"/>
  <cols>
    <col min="1" max="1" width="12.140625" bestFit="1" customWidth="1"/>
    <col min="2" max="2" width="18.85546875" bestFit="1" customWidth="1"/>
    <col min="3" max="3" width="13.85546875" bestFit="1" customWidth="1"/>
    <col min="4" max="4" width="11.28515625" bestFit="1" customWidth="1"/>
    <col min="5" max="5" width="19.42578125" bestFit="1" customWidth="1"/>
    <col min="6" max="6" width="18.85546875" bestFit="1" customWidth="1"/>
    <col min="7" max="7" width="12.42578125" bestFit="1" customWidth="1"/>
    <col min="8" max="9" width="18.85546875" bestFit="1" customWidth="1"/>
    <col min="11" max="11" width="18.140625" bestFit="1" customWidth="1"/>
    <col min="12" max="12" width="18.85546875" bestFit="1" customWidth="1"/>
    <col min="14" max="14" width="36.85546875" bestFit="1" customWidth="1"/>
    <col min="15" max="15" width="18.85546875" bestFit="1" customWidth="1"/>
    <col min="17" max="17" width="13.42578125" bestFit="1" customWidth="1"/>
    <col min="18" max="18" width="18.85546875" bestFit="1" customWidth="1"/>
    <col min="20" max="20" width="13.42578125" bestFit="1" customWidth="1"/>
    <col min="21" max="21" width="17.5703125" bestFit="1" customWidth="1"/>
    <col min="22" max="22" width="18.85546875" bestFit="1" customWidth="1"/>
  </cols>
  <sheetData>
    <row r="3" spans="1:22" x14ac:dyDescent="0.25">
      <c r="A3" s="2" t="s">
        <v>2</v>
      </c>
      <c r="B3" t="s">
        <v>83</v>
      </c>
      <c r="G3" s="2" t="s">
        <v>80</v>
      </c>
      <c r="H3" t="s">
        <v>83</v>
      </c>
      <c r="K3" s="2" t="s">
        <v>81</v>
      </c>
      <c r="L3" t="s">
        <v>83</v>
      </c>
      <c r="N3" s="2" t="s">
        <v>89</v>
      </c>
      <c r="O3" t="s">
        <v>83</v>
      </c>
      <c r="T3" s="2" t="s">
        <v>81</v>
      </c>
      <c r="U3" t="s">
        <v>95</v>
      </c>
      <c r="V3" t="s">
        <v>83</v>
      </c>
    </row>
    <row r="4" spans="1:22" x14ac:dyDescent="0.25">
      <c r="A4" s="3" t="s">
        <v>15</v>
      </c>
      <c r="B4" s="8">
        <v>524</v>
      </c>
      <c r="G4" s="3" t="s">
        <v>84</v>
      </c>
      <c r="H4" s="8">
        <v>197</v>
      </c>
      <c r="K4" s="3" t="s">
        <v>72</v>
      </c>
      <c r="L4" s="8">
        <v>20</v>
      </c>
      <c r="N4" s="3" t="s">
        <v>90</v>
      </c>
      <c r="O4" s="8">
        <v>53</v>
      </c>
      <c r="T4" s="3" t="s">
        <v>96</v>
      </c>
      <c r="U4" s="4">
        <v>1629500</v>
      </c>
      <c r="V4" s="8">
        <v>221</v>
      </c>
    </row>
    <row r="5" spans="1:22" x14ac:dyDescent="0.25">
      <c r="A5" s="3" t="s">
        <v>22</v>
      </c>
      <c r="B5" s="8">
        <v>460</v>
      </c>
      <c r="G5" s="3" t="s">
        <v>85</v>
      </c>
      <c r="H5" s="8">
        <v>459</v>
      </c>
      <c r="K5" s="3" t="s">
        <v>79</v>
      </c>
      <c r="L5" s="8">
        <v>9</v>
      </c>
      <c r="N5" s="3" t="s">
        <v>91</v>
      </c>
      <c r="O5" s="8">
        <v>100</v>
      </c>
      <c r="T5" s="3" t="s">
        <v>97</v>
      </c>
      <c r="U5" s="4">
        <v>2340400</v>
      </c>
      <c r="V5" s="8">
        <v>259</v>
      </c>
    </row>
    <row r="6" spans="1:22" x14ac:dyDescent="0.25">
      <c r="A6" s="3" t="s">
        <v>82</v>
      </c>
      <c r="B6" s="8">
        <v>984</v>
      </c>
      <c r="G6" s="3" t="s">
        <v>86</v>
      </c>
      <c r="H6" s="8">
        <v>328</v>
      </c>
      <c r="K6" s="3" t="s">
        <v>67</v>
      </c>
      <c r="L6" s="8">
        <v>36</v>
      </c>
      <c r="N6" s="3" t="s">
        <v>92</v>
      </c>
      <c r="O6" s="8">
        <v>236</v>
      </c>
      <c r="T6" s="3" t="s">
        <v>98</v>
      </c>
      <c r="U6" s="4">
        <v>2172800</v>
      </c>
      <c r="V6" s="8">
        <v>254</v>
      </c>
    </row>
    <row r="7" spans="1:22" x14ac:dyDescent="0.25">
      <c r="G7" s="3" t="s">
        <v>82</v>
      </c>
      <c r="H7" s="8">
        <v>984</v>
      </c>
      <c r="K7" s="3" t="s">
        <v>56</v>
      </c>
      <c r="L7" s="8">
        <v>23</v>
      </c>
      <c r="N7" s="3" t="s">
        <v>93</v>
      </c>
      <c r="O7" s="8">
        <v>438</v>
      </c>
      <c r="T7" s="3" t="s">
        <v>99</v>
      </c>
      <c r="U7" s="4">
        <v>1899300</v>
      </c>
      <c r="V7" s="8">
        <v>231</v>
      </c>
    </row>
    <row r="8" spans="1:22" x14ac:dyDescent="0.25">
      <c r="K8" s="3" t="s">
        <v>61</v>
      </c>
      <c r="L8" s="8">
        <v>31</v>
      </c>
      <c r="N8" s="3" t="s">
        <v>94</v>
      </c>
      <c r="O8" s="8">
        <v>157</v>
      </c>
      <c r="T8" s="3" t="s">
        <v>100</v>
      </c>
      <c r="U8" s="4">
        <v>191600</v>
      </c>
      <c r="V8" s="8">
        <v>19</v>
      </c>
    </row>
    <row r="9" spans="1:22" x14ac:dyDescent="0.25">
      <c r="K9" s="3" t="s">
        <v>51</v>
      </c>
      <c r="L9" s="8">
        <v>70</v>
      </c>
      <c r="N9" s="3" t="s">
        <v>82</v>
      </c>
      <c r="O9" s="8">
        <v>984</v>
      </c>
      <c r="T9" s="3" t="s">
        <v>82</v>
      </c>
      <c r="U9" s="4">
        <v>8233600</v>
      </c>
      <c r="V9" s="8">
        <v>984</v>
      </c>
    </row>
    <row r="10" spans="1:22" x14ac:dyDescent="0.25">
      <c r="K10" s="3" t="s">
        <v>25</v>
      </c>
      <c r="L10" s="8">
        <v>34</v>
      </c>
    </row>
    <row r="11" spans="1:22" x14ac:dyDescent="0.25">
      <c r="A11" s="2" t="s">
        <v>87</v>
      </c>
      <c r="B11" t="s">
        <v>83</v>
      </c>
      <c r="E11" s="2" t="s">
        <v>3</v>
      </c>
      <c r="F11" t="s">
        <v>83</v>
      </c>
      <c r="K11" s="3" t="s">
        <v>44</v>
      </c>
      <c r="L11" s="8">
        <v>38</v>
      </c>
      <c r="N11" s="2" t="s">
        <v>4</v>
      </c>
      <c r="O11" t="s">
        <v>83</v>
      </c>
    </row>
    <row r="12" spans="1:22" x14ac:dyDescent="0.25">
      <c r="A12" s="3" t="s">
        <v>19</v>
      </c>
      <c r="B12" s="8">
        <v>633</v>
      </c>
      <c r="E12" s="3" t="s">
        <v>47</v>
      </c>
      <c r="F12" s="8">
        <v>66</v>
      </c>
      <c r="K12" s="3" t="s">
        <v>77</v>
      </c>
      <c r="L12" s="8">
        <v>30</v>
      </c>
      <c r="N12" s="3" t="s">
        <v>17</v>
      </c>
      <c r="O12" s="8">
        <v>65</v>
      </c>
      <c r="T12" s="2" t="s">
        <v>81</v>
      </c>
      <c r="U12" t="s">
        <v>83</v>
      </c>
    </row>
    <row r="13" spans="1:22" x14ac:dyDescent="0.25">
      <c r="A13" s="3" t="s">
        <v>21</v>
      </c>
      <c r="B13" s="8">
        <v>351</v>
      </c>
      <c r="E13" s="3" t="s">
        <v>39</v>
      </c>
      <c r="F13" s="8">
        <v>66</v>
      </c>
      <c r="K13" s="3" t="s">
        <v>70</v>
      </c>
      <c r="L13" s="8">
        <v>45</v>
      </c>
      <c r="N13" s="3" t="s">
        <v>50</v>
      </c>
      <c r="O13" s="8">
        <v>65</v>
      </c>
      <c r="T13" s="3">
        <v>2</v>
      </c>
      <c r="U13" s="6">
        <v>0.13516260162601626</v>
      </c>
    </row>
    <row r="14" spans="1:22" x14ac:dyDescent="0.25">
      <c r="A14" s="3" t="s">
        <v>82</v>
      </c>
      <c r="B14" s="8">
        <v>984</v>
      </c>
      <c r="E14" s="3" t="s">
        <v>33</v>
      </c>
      <c r="F14" s="8">
        <v>66</v>
      </c>
      <c r="K14" s="3" t="s">
        <v>66</v>
      </c>
      <c r="L14" s="8">
        <v>24</v>
      </c>
      <c r="N14" s="3" t="s">
        <v>40</v>
      </c>
      <c r="O14" s="8">
        <v>66</v>
      </c>
      <c r="T14" s="3">
        <v>3</v>
      </c>
      <c r="U14" s="6">
        <v>0.2652439024390244</v>
      </c>
    </row>
    <row r="15" spans="1:22" x14ac:dyDescent="0.25">
      <c r="E15" s="3" t="s">
        <v>54</v>
      </c>
      <c r="F15" s="8">
        <v>65</v>
      </c>
      <c r="K15" s="3" t="s">
        <v>78</v>
      </c>
      <c r="L15" s="8">
        <v>9</v>
      </c>
      <c r="N15" s="3" t="s">
        <v>46</v>
      </c>
      <c r="O15" s="8">
        <v>67</v>
      </c>
      <c r="T15" s="3">
        <v>4</v>
      </c>
      <c r="U15" s="6">
        <v>0.46544715447154472</v>
      </c>
    </row>
    <row r="16" spans="1:22" x14ac:dyDescent="0.25">
      <c r="A16" s="2" t="s">
        <v>103</v>
      </c>
      <c r="B16" t="s">
        <v>83</v>
      </c>
      <c r="E16" s="3" t="s">
        <v>23</v>
      </c>
      <c r="F16" s="8">
        <v>65</v>
      </c>
      <c r="K16" s="3" t="s">
        <v>41</v>
      </c>
      <c r="L16" s="8">
        <v>32</v>
      </c>
      <c r="N16" s="3" t="s">
        <v>43</v>
      </c>
      <c r="O16" s="8">
        <v>67</v>
      </c>
      <c r="T16" s="3">
        <v>5</v>
      </c>
      <c r="U16" s="6">
        <v>0.13414634146341464</v>
      </c>
    </row>
    <row r="17" spans="1:22" x14ac:dyDescent="0.25">
      <c r="A17" s="3" t="s">
        <v>19</v>
      </c>
      <c r="B17" s="8">
        <v>720</v>
      </c>
      <c r="E17" s="3" t="s">
        <v>27</v>
      </c>
      <c r="F17" s="8">
        <v>66</v>
      </c>
      <c r="K17" s="3" t="s">
        <v>18</v>
      </c>
      <c r="L17" s="8">
        <v>120</v>
      </c>
      <c r="N17" s="3" t="s">
        <v>31</v>
      </c>
      <c r="O17" s="8">
        <v>66</v>
      </c>
      <c r="Q17" s="2" t="s">
        <v>81</v>
      </c>
      <c r="R17" t="s">
        <v>83</v>
      </c>
      <c r="T17" s="3" t="s">
        <v>82</v>
      </c>
      <c r="U17" s="6">
        <v>1</v>
      </c>
    </row>
    <row r="18" spans="1:22" x14ac:dyDescent="0.25">
      <c r="A18" s="3" t="s">
        <v>21</v>
      </c>
      <c r="B18" s="8">
        <v>264</v>
      </c>
      <c r="E18" s="3" t="s">
        <v>42</v>
      </c>
      <c r="F18" s="8">
        <v>67</v>
      </c>
      <c r="K18" s="3" t="s">
        <v>74</v>
      </c>
      <c r="L18" s="8">
        <v>31</v>
      </c>
      <c r="N18" s="3" t="s">
        <v>55</v>
      </c>
      <c r="O18" s="8">
        <v>65</v>
      </c>
      <c r="Q18" s="3" t="s">
        <v>96</v>
      </c>
      <c r="R18" s="8">
        <v>250</v>
      </c>
    </row>
    <row r="19" spans="1:22" x14ac:dyDescent="0.25">
      <c r="A19" s="3" t="s">
        <v>82</v>
      </c>
      <c r="B19" s="8">
        <v>984</v>
      </c>
      <c r="E19" s="3" t="s">
        <v>45</v>
      </c>
      <c r="F19" s="8">
        <v>67</v>
      </c>
      <c r="K19" s="3" t="s">
        <v>29</v>
      </c>
      <c r="L19" s="8">
        <v>38</v>
      </c>
      <c r="N19" s="3" t="s">
        <v>48</v>
      </c>
      <c r="O19" s="8">
        <v>66</v>
      </c>
      <c r="Q19" s="3" t="s">
        <v>97</v>
      </c>
      <c r="R19" s="8">
        <v>261</v>
      </c>
      <c r="V19" s="6">
        <f>AVERAGE(U13,U14,U15,U16)</f>
        <v>0.25</v>
      </c>
    </row>
    <row r="20" spans="1:22" x14ac:dyDescent="0.25">
      <c r="C20" s="7"/>
      <c r="E20" s="3" t="s">
        <v>16</v>
      </c>
      <c r="F20" s="8">
        <v>65</v>
      </c>
      <c r="K20" s="3" t="s">
        <v>32</v>
      </c>
      <c r="L20" s="8">
        <v>21</v>
      </c>
      <c r="N20" s="3" t="s">
        <v>24</v>
      </c>
      <c r="O20" s="8">
        <v>65</v>
      </c>
      <c r="Q20" s="3" t="s">
        <v>98</v>
      </c>
      <c r="R20" s="8">
        <v>243</v>
      </c>
    </row>
    <row r="21" spans="1:22" x14ac:dyDescent="0.25">
      <c r="C21" s="7"/>
      <c r="E21" s="3" t="s">
        <v>36</v>
      </c>
      <c r="F21" s="8">
        <v>66</v>
      </c>
      <c r="K21" s="3" t="s">
        <v>64</v>
      </c>
      <c r="L21" s="8">
        <v>32</v>
      </c>
      <c r="N21" s="3" t="s">
        <v>58</v>
      </c>
      <c r="O21" s="8">
        <v>65</v>
      </c>
      <c r="Q21" s="3" t="s">
        <v>99</v>
      </c>
      <c r="R21" s="8">
        <v>230</v>
      </c>
    </row>
    <row r="22" spans="1:22" x14ac:dyDescent="0.25">
      <c r="E22" s="3" t="s">
        <v>57</v>
      </c>
      <c r="F22" s="8">
        <v>65</v>
      </c>
      <c r="K22" s="3" t="s">
        <v>35</v>
      </c>
      <c r="L22" s="8">
        <v>36</v>
      </c>
      <c r="N22" s="3" t="s">
        <v>37</v>
      </c>
      <c r="O22" s="8">
        <v>66</v>
      </c>
      <c r="Q22" s="3" t="s">
        <v>82</v>
      </c>
      <c r="R22" s="8">
        <v>984</v>
      </c>
    </row>
    <row r="23" spans="1:22" x14ac:dyDescent="0.25">
      <c r="E23" s="3" t="s">
        <v>59</v>
      </c>
      <c r="F23" s="8">
        <v>64</v>
      </c>
      <c r="K23" s="3" t="s">
        <v>62</v>
      </c>
      <c r="L23" s="8">
        <v>5</v>
      </c>
      <c r="N23" s="3" t="s">
        <v>60</v>
      </c>
      <c r="O23" s="8">
        <v>64</v>
      </c>
    </row>
    <row r="24" spans="1:22" x14ac:dyDescent="0.25">
      <c r="E24" s="3" t="s">
        <v>52</v>
      </c>
      <c r="F24" s="8">
        <v>65</v>
      </c>
      <c r="K24" s="3" t="s">
        <v>75</v>
      </c>
      <c r="L24" s="8">
        <v>23</v>
      </c>
      <c r="N24" s="3" t="s">
        <v>53</v>
      </c>
      <c r="O24" s="8">
        <v>65</v>
      </c>
    </row>
    <row r="25" spans="1:22" x14ac:dyDescent="0.25">
      <c r="E25" s="3" t="s">
        <v>49</v>
      </c>
      <c r="F25" s="8">
        <v>65</v>
      </c>
      <c r="K25" s="3" t="s">
        <v>71</v>
      </c>
      <c r="L25" s="8">
        <v>45</v>
      </c>
      <c r="N25" s="3" t="s">
        <v>34</v>
      </c>
      <c r="O25" s="8">
        <v>66</v>
      </c>
    </row>
    <row r="26" spans="1:22" x14ac:dyDescent="0.25">
      <c r="E26" s="3" t="s">
        <v>30</v>
      </c>
      <c r="F26" s="8">
        <v>66</v>
      </c>
      <c r="K26" s="3" t="s">
        <v>69</v>
      </c>
      <c r="L26" s="8">
        <v>64</v>
      </c>
      <c r="N26" s="3" t="s">
        <v>28</v>
      </c>
      <c r="O26" s="8">
        <v>66</v>
      </c>
    </row>
    <row r="27" spans="1:22" x14ac:dyDescent="0.25">
      <c r="E27" s="3" t="s">
        <v>82</v>
      </c>
      <c r="F27" s="8">
        <v>984</v>
      </c>
      <c r="K27" s="3" t="s">
        <v>76</v>
      </c>
      <c r="L27" s="8">
        <v>15</v>
      </c>
      <c r="N27" s="3" t="s">
        <v>82</v>
      </c>
      <c r="O27" s="8">
        <v>984</v>
      </c>
    </row>
    <row r="28" spans="1:22" x14ac:dyDescent="0.25">
      <c r="K28" s="3" t="s">
        <v>38</v>
      </c>
      <c r="L28" s="8">
        <v>24</v>
      </c>
    </row>
    <row r="29" spans="1:22" x14ac:dyDescent="0.25">
      <c r="K29" s="3" t="s">
        <v>73</v>
      </c>
      <c r="L29" s="8">
        <v>63</v>
      </c>
    </row>
    <row r="30" spans="1:22" x14ac:dyDescent="0.25">
      <c r="K30" s="3" t="s">
        <v>63</v>
      </c>
      <c r="L30" s="8">
        <v>25</v>
      </c>
    </row>
    <row r="31" spans="1:22" x14ac:dyDescent="0.25">
      <c r="K31" s="3" t="s">
        <v>68</v>
      </c>
      <c r="L31" s="8">
        <v>16</v>
      </c>
    </row>
    <row r="32" spans="1:22" x14ac:dyDescent="0.25">
      <c r="K32" s="3" t="s">
        <v>65</v>
      </c>
      <c r="L32" s="8">
        <v>25</v>
      </c>
    </row>
    <row r="33" spans="11:12" x14ac:dyDescent="0.25">
      <c r="K33" s="3" t="s">
        <v>82</v>
      </c>
      <c r="L33" s="8">
        <v>984</v>
      </c>
    </row>
  </sheetData>
  <pageMargins left="0.7" right="0.7" top="0.75" bottom="0.75" header="0.3" footer="0.3"/>
  <drawing r:id="rId12"/>
  <extLst>
    <ext xmlns:x14="http://schemas.microsoft.com/office/spreadsheetml/2009/9/main" uri="{05C60535-1F16-4fd2-B633-F4F36F0B64E0}">
      <x14:sparklineGroups xmlns:xm="http://schemas.microsoft.com/office/excel/2006/main">
        <x14:sparklineGroup displayEmptyCellsAs="gap" xr2:uid="{4607A111-85EC-41E1-9F11-2879FCE68CC9}">
          <x14:colorSeries theme="0"/>
          <x14:colorNegative rgb="FFD00000"/>
          <x14:colorAxis rgb="FF000000"/>
          <x14:colorMarkers rgb="FFD00000"/>
          <x14:colorFirst rgb="FFD00000"/>
          <x14:colorLast rgb="FFD00000"/>
          <x14:colorHigh rgb="FFD00000"/>
          <x14:colorLow rgb="FFD00000"/>
          <x14:sparklines>
            <x14:sparkline>
              <xm:f>Pivot_Table!B4:B5</xm:f>
              <xm:sqref>C6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3CE1-34DD-4D7E-B11E-E087D61320B8}">
  <dimension ref="W4"/>
  <sheetViews>
    <sheetView showGridLines="0" showRowColHeaders="0" zoomScale="96" workbookViewId="0">
      <selection activeCell="X5" sqref="X5"/>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
  </cols>
  <sheetData>
    <row r="4" spans="23:23" x14ac:dyDescent="0.25">
      <c r="W4" s="1" t="s">
        <v>102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769DD9-8757-4D48-9BA6-DBE78E3423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patient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S0010019</dc:creator>
  <cp:lastModifiedBy>skaveyasathishskaveyasathish@gmail.com</cp:lastModifiedBy>
  <dcterms:created xsi:type="dcterms:W3CDTF">2026-08-15T09:23:24Z</dcterms:created>
  <dcterms:modified xsi:type="dcterms:W3CDTF">2026-08-26T14:19:56Z</dcterms:modified>
</cp:coreProperties>
</file>